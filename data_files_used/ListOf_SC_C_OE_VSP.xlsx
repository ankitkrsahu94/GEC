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Sheet1!$A$1:$Q$125</definedName>
    <definedName function="false" hidden="false" localSheetId="0" name="_xlnm._FilterDatabase" vbProcedure="false">Sheet1!$A$1:$Q$125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<sst xmlns="http://schemas.openxmlformats.org/spreadsheetml/2006/main" count="531" uniqueCount="201">
  <si>
    <t>S.No.</t>
  </si>
  <si>
    <t>Village code</t>
  </si>
  <si>
    <t> Village Name</t>
  </si>
  <si>
    <t>Mandal Name</t>
  </si>
  <si>
    <t>Watershed Name</t>
  </si>
  <si>
    <t>G.W. Resource Available  ha-m</t>
  </si>
  <si>
    <t>G.W. Resource Available  ha-m
(IWM)</t>
  </si>
  <si>
    <t>Deviation (%)</t>
  </si>
  <si>
    <t>Comments</t>
  </si>
  <si>
    <t>G.W. Utilisation         (ha-m)</t>
  </si>
  <si>
    <t>G.W. Utilisation (ha-m)
(IWM)</t>
  </si>
  <si>
    <t>Actual balance groundwater available for future use</t>
  </si>
  <si>
    <t>Stage of GW Development             (%)</t>
  </si>
  <si>
    <t>Stage of GW Development (%)</t>
  </si>
  <si>
    <t>Category               ( Safe-1,     SemiCritical-2   Critical-3, Over exploited-4)</t>
  </si>
  <si>
    <t>Category
(IWM)</t>
  </si>
  <si>
    <t>Kundram</t>
  </si>
  <si>
    <t>Anakapalli</t>
  </si>
  <si>
    <t>Vsp_14_F_Nc_Sarada-9_Butchayyapeta</t>
  </si>
  <si>
    <t>Semi-Critical</t>
  </si>
  <si>
    <t>Safe</t>
  </si>
  <si>
    <t>Pedabidda</t>
  </si>
  <si>
    <t>Ananthagiri</t>
  </si>
  <si>
    <t>Vsp_14_Nc_Sarada-1_Ananthagiri</t>
  </si>
  <si>
    <t>Pallapukodabu</t>
  </si>
  <si>
    <t>Devarapalli</t>
  </si>
  <si>
    <t>Chinthaluru</t>
  </si>
  <si>
    <t>Chintapalli</t>
  </si>
  <si>
    <t>Vsp_E_27_Nc_Sabari-3_G.Madugula</t>
  </si>
  <si>
    <t>Kurumenupakalu</t>
  </si>
  <si>
    <t>Rachapalli</t>
  </si>
  <si>
    <t>G.Madugula</t>
  </si>
  <si>
    <t>Mulagaruvu</t>
  </si>
  <si>
    <t>Pedabayalu</t>
  </si>
  <si>
    <t>Vsp_E_27_Nc_Sabari-4_Pedabayalu</t>
  </si>
  <si>
    <t>3 GW villages are mapped to 1 IWM village. So areas are getting added. Will be corrected.</t>
  </si>
  <si>
    <t>Seemakonda</t>
  </si>
  <si>
    <t>Boni</t>
  </si>
  <si>
    <t>Anandapuram</t>
  </si>
  <si>
    <t>Vsp_F_10_Nc_Gosthani_Padamanabham</t>
  </si>
  <si>
    <t>Chandaka</t>
  </si>
  <si>
    <t>Pandalapaka</t>
  </si>
  <si>
    <t>Dakamarri</t>
  </si>
  <si>
    <t>Bhimili</t>
  </si>
  <si>
    <t>B.Tallavalasa</t>
  </si>
  <si>
    <t>Padmanabham</t>
  </si>
  <si>
    <t>Vijayarampuram</t>
  </si>
  <si>
    <t>Wrongly mapped to Rambili</t>
  </si>
  <si>
    <t>Ward No 10</t>
  </si>
  <si>
    <t>GVMC</t>
  </si>
  <si>
    <t>Vsp_F_11_Nc_Mmd_Anandapuram</t>
  </si>
  <si>
    <t>They are cumulatively mapped to Vishakhapatnam(M) mandal in IWM.</t>
  </si>
  <si>
    <t>Ward No 14</t>
  </si>
  <si>
    <t>Ward No 12</t>
  </si>
  <si>
    <t>Vsp_F_12_Nc_Narava-1_Sabbavaram</t>
  </si>
  <si>
    <t>Ward No 13</t>
  </si>
  <si>
    <t>Ward No 21</t>
  </si>
  <si>
    <t>Ward No 22</t>
  </si>
  <si>
    <t>Ward No 23</t>
  </si>
  <si>
    <t>Ward No 25</t>
  </si>
  <si>
    <t>Ward No 26</t>
  </si>
  <si>
    <t>Ward No 27</t>
  </si>
  <si>
    <t>Ward No 31</t>
  </si>
  <si>
    <t>Ward No 32</t>
  </si>
  <si>
    <t>Ward No 40</t>
  </si>
  <si>
    <t>Chandrayyapeta</t>
  </si>
  <si>
    <t>K.Kotapadu</t>
  </si>
  <si>
    <t>Santhapalem</t>
  </si>
  <si>
    <t>Mogilipuram</t>
  </si>
  <si>
    <t>Sabbavaram</t>
  </si>
  <si>
    <t>Payakarao Bonangi</t>
  </si>
  <si>
    <t>Parawada</t>
  </si>
  <si>
    <t>Vsp_F_13_Nc_Anakapalli-1_Parawada</t>
  </si>
  <si>
    <t>Ward No 62</t>
  </si>
  <si>
    <t>Vsp_F_13_Nc_Ananakapalli-2_Pgantyada</t>
  </si>
  <si>
    <t>Ward No 63</t>
  </si>
  <si>
    <t>Chinapachila</t>
  </si>
  <si>
    <t>Ravikamatam</t>
  </si>
  <si>
    <t>Vsp_F_14_C_Sarada-11_V.Madugula</t>
  </si>
  <si>
    <t>Gadirai</t>
  </si>
  <si>
    <t>V.Madugula</t>
  </si>
  <si>
    <t>M.K.Vallapuram</t>
  </si>
  <si>
    <t>Vsp_F_14_C_Sarada-12_Gadirai</t>
  </si>
  <si>
    <t>Maredupudi</t>
  </si>
  <si>
    <t>Vsp_F_14_C_Sarada-6_Atchutapuram</t>
  </si>
  <si>
    <t>Haripalem</t>
  </si>
  <si>
    <t>Atchutapuram</t>
  </si>
  <si>
    <t>Chuchukonda</t>
  </si>
  <si>
    <t>Munagapaka</t>
  </si>
  <si>
    <t>Mungapaka</t>
  </si>
  <si>
    <t>Vummalada</t>
  </si>
  <si>
    <t>Mantripalem</t>
  </si>
  <si>
    <t>Mulajampa</t>
  </si>
  <si>
    <t>Rambilli</t>
  </si>
  <si>
    <t>Somalingapuram</t>
  </si>
  <si>
    <t>Elamanchili</t>
  </si>
  <si>
    <t>Vsp_F_14_C_Sarada-7_Elamanchili</t>
  </si>
  <si>
    <t>Jattapureddituni</t>
  </si>
  <si>
    <t>Kasimkota</t>
  </si>
  <si>
    <t>Butchayyapeta</t>
  </si>
  <si>
    <t>Vsp_F_14_Nc_Sarada-10_Cheedikada</t>
  </si>
  <si>
    <t>Vijayaramarajupeta</t>
  </si>
  <si>
    <t>Cheedipalli</t>
  </si>
  <si>
    <t>Cheedikada</t>
  </si>
  <si>
    <t>Vintapalem</t>
  </si>
  <si>
    <t>1,2,3,4</t>
  </si>
  <si>
    <t>Chodavaram, Pakeersahebpeta,Annavaram,Venkayyagaripeta</t>
  </si>
  <si>
    <t>Chodavaram</t>
  </si>
  <si>
    <t>Gowripatnam</t>
  </si>
  <si>
    <t>Laxmipuram</t>
  </si>
  <si>
    <t>Cheedigaruvu</t>
  </si>
  <si>
    <t>Hukumpeta</t>
  </si>
  <si>
    <t>Juthadapalem</t>
  </si>
  <si>
    <t>Vsp_F_14_Nc_Sarada-2_Pedakota</t>
  </si>
  <si>
    <t>Gorupalem</t>
  </si>
  <si>
    <t>Vsp_F_14_Nc_Sarada-4_Devarapalli</t>
  </si>
  <si>
    <t>Kasipathirajpuram</t>
  </si>
  <si>
    <t>Kothapenta</t>
  </si>
  <si>
    <t>L.Rajupeta</t>
  </si>
  <si>
    <t>N.Gajapathinagaram</t>
  </si>
  <si>
    <t>Gobburupalem</t>
  </si>
  <si>
    <t>Vsp_F_14_Nc_Sarada-8_Kasimkota</t>
  </si>
  <si>
    <t>Annavaram</t>
  </si>
  <si>
    <t>Kotaurtla</t>
  </si>
  <si>
    <t>Vsp_F_15_C_Varaha-2_Narsipatnam</t>
  </si>
  <si>
    <t>Sunkapuru</t>
  </si>
  <si>
    <t>Etikoppaka</t>
  </si>
  <si>
    <t>Vsp_F_15_C_Varaha-3_S.Rayavaram</t>
  </si>
  <si>
    <t>Gotivada</t>
  </si>
  <si>
    <t>Penugollu</t>
  </si>
  <si>
    <t>S.Rayavaram</t>
  </si>
  <si>
    <t>Timmapuram</t>
  </si>
  <si>
    <t>Makavarapalem</t>
  </si>
  <si>
    <t>Vsp_F_15_C_Varaha-Sarpa_Ravikamatam</t>
  </si>
  <si>
    <t>Yerra Bhupalapatnam</t>
  </si>
  <si>
    <t>Rolugunta</t>
  </si>
  <si>
    <t>Vsp_F_15_Nc_Varaha-1_Rolugunta</t>
  </si>
  <si>
    <t>Aratlakota</t>
  </si>
  <si>
    <t>Payakaraopeta</t>
  </si>
  <si>
    <t>Vsp_F_16_C_Tandava-1_Nakkapalli</t>
  </si>
  <si>
    <t>Pedaramabhadrapuram</t>
  </si>
  <si>
    <t>Vsp_F_16_C_Tandava-2_Payakaraopeta</t>
  </si>
  <si>
    <t>K.V.Sarabhavaram</t>
  </si>
  <si>
    <t>Nathavaram</t>
  </si>
  <si>
    <t>Vsp_F_16_Nc_Tandava-4_K.Agraharam</t>
  </si>
  <si>
    <t>Nagarampalem</t>
  </si>
  <si>
    <t>Critical</t>
  </si>
  <si>
    <t>Ward No 24</t>
  </si>
  <si>
    <t>Ward No 28</t>
  </si>
  <si>
    <t>Ward No 29</t>
  </si>
  <si>
    <t>Ward No 30</t>
  </si>
  <si>
    <t>Ward No 33</t>
  </si>
  <si>
    <t>Ward No 36</t>
  </si>
  <si>
    <t>Marripalem</t>
  </si>
  <si>
    <t>Ambherupuram</t>
  </si>
  <si>
    <t>Vsp_F_14_C_Sarada-5_Kotapadu</t>
  </si>
  <si>
    <t>Bhogapuram</t>
  </si>
  <si>
    <t>M.Jagannadhapuram</t>
  </si>
  <si>
    <t>Challamalla</t>
  </si>
  <si>
    <t>Nagulapalli</t>
  </si>
  <si>
    <t>Satyavaram</t>
  </si>
  <si>
    <t>Nallagonda</t>
  </si>
  <si>
    <t>Koyyuru</t>
  </si>
  <si>
    <t>Vsp_F_16_Nc_Tandava-6_Golugonda</t>
  </si>
  <si>
    <t>Tamarabba</t>
  </si>
  <si>
    <t>Over-Exploited</t>
  </si>
  <si>
    <t>Damuku</t>
  </si>
  <si>
    <t>Vsp_F_10_Nc_Gosthani_1_Borra_Agency</t>
  </si>
  <si>
    <t>K.K.Agraharam</t>
  </si>
  <si>
    <t>Bangarampalem</t>
  </si>
  <si>
    <t>Gullepalli</t>
  </si>
  <si>
    <t>Pydiwada Agraharam</t>
  </si>
  <si>
    <t>Rayapurajuagraharam</t>
  </si>
  <si>
    <t>Tekkalipalem</t>
  </si>
  <si>
    <t>Pathavalasa</t>
  </si>
  <si>
    <t>Vsp_F_12_Nc_Narava-2_Pendurthi</t>
  </si>
  <si>
    <t>M.Koduru</t>
  </si>
  <si>
    <t>Veeravalli Agraharam</t>
  </si>
  <si>
    <t>Chinakurmam</t>
  </si>
  <si>
    <t>Jaggampeta</t>
  </si>
  <si>
    <t>Khajipalem</t>
  </si>
  <si>
    <t>Pedapadu</t>
  </si>
  <si>
    <t>Timmarajupeta</t>
  </si>
  <si>
    <t>Veduruparti</t>
  </si>
  <si>
    <t>Arabupalem</t>
  </si>
  <si>
    <t>Ganaparti</t>
  </si>
  <si>
    <t>Jaggayyapeta</t>
  </si>
  <si>
    <t>Kumarapuram</t>
  </si>
  <si>
    <t>Pallapu Anandapuram</t>
  </si>
  <si>
    <t>R.Bhadrapuram Agrm.</t>
  </si>
  <si>
    <t>Thotada</t>
  </si>
  <si>
    <t>Vompolu</t>
  </si>
  <si>
    <t>Ankupalem</t>
  </si>
  <si>
    <t>Srirampaatnam</t>
  </si>
  <si>
    <t>Boilakinthada</t>
  </si>
  <si>
    <t>Narasapuram</t>
  </si>
  <si>
    <t>Perantalapalem</t>
  </si>
  <si>
    <t>Gantavanipalem</t>
  </si>
  <si>
    <t>Vommavaram</t>
  </si>
  <si>
    <t>Komira</t>
  </si>
  <si>
    <t>Golugonda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</si>
</sst>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25"/>
  <sheetViews>
    <sheetView windowProtection="false"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R14" activeCellId="0" sqref="R14"/>
    </sheetView>
  </sheetViews>
  <sheetFormatPr defaultRowHeight="13.8"/>
  <cols>
    <col collapsed="false" hidden="false" max="1" min="1" style="0" width="8.53441295546559"/>
    <col collapsed="false" hidden="false" max="2" min="2" style="0" width="7.4251012145749"/>
    <col collapsed="false" hidden="false" max="3" min="3" style="0" width="20.4251012145749"/>
    <col collapsed="false" hidden="false" max="4" min="4" style="0" width="15.1376518218623"/>
    <col collapsed="false" hidden="false" max="5" min="5" style="0" width="37"/>
    <col collapsed="false" hidden="false" max="6" min="6" style="0" width="13.7125506072874"/>
    <col collapsed="false" hidden="false" max="10" min="7" style="0" width="12.5668016194332"/>
    <col collapsed="false" hidden="false" max="13" min="11" style="0" width="12.7125506072875"/>
    <col collapsed="false" hidden="false" max="14" min="14" style="0" width="12.4251012145749"/>
    <col collapsed="false" hidden="false" max="17" min="15" style="0" width="17.7085020242915"/>
    <col collapsed="false" hidden="false" max="1025" min="18" style="0" width="8.53441295546559"/>
  </cols>
  <sheetData>
    <row r="1" s="4" customFormat="true" ht="82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7</v>
      </c>
      <c r="M1" s="3" t="s">
        <v>11</v>
      </c>
      <c r="N1" s="2" t="s">
        <v>12</v>
      </c>
      <c r="O1" s="2" t="s">
        <v>13</v>
      </c>
      <c r="P1" s="1" t="s">
        <v>14</v>
      </c>
      <c r="Q1" s="1" t="s">
        <v>15</v>
      </c>
    </row>
    <row r="2" customFormat="false" ht="14.9" hidden="false" customHeight="false" outlineLevel="0" collapsed="false">
      <c r="A2" s="5" t="n">
        <v>13</v>
      </c>
      <c r="B2" s="5" t="n">
        <v>29</v>
      </c>
      <c r="C2" s="6" t="s">
        <v>16</v>
      </c>
      <c r="D2" s="7" t="s">
        <v>17</v>
      </c>
      <c r="E2" s="8" t="s">
        <v>18</v>
      </c>
      <c r="F2" s="9" t="n">
        <v>60.8653801489127</v>
      </c>
      <c r="G2" s="9" t="n">
        <v>47.9</v>
      </c>
      <c r="H2" s="9" t="n">
        <f aca="false">(G2-F2)*100/F2</f>
        <v>-21.3017319816154</v>
      </c>
      <c r="I2" s="9"/>
      <c r="J2" s="9" t="n">
        <v>46.629</v>
      </c>
      <c r="K2" s="9" t="n">
        <v>7.9</v>
      </c>
      <c r="L2" s="9" t="n">
        <f aca="false">(K2-J2)*100/J2</f>
        <v>-83.0577537583907</v>
      </c>
      <c r="M2" s="9" t="n">
        <v>14.2363801489127</v>
      </c>
      <c r="N2" s="9" t="n">
        <v>77</v>
      </c>
      <c r="O2" s="9" t="n">
        <f aca="false">K2*100/G2</f>
        <v>16.4926931106472</v>
      </c>
      <c r="P2" s="5" t="s">
        <v>19</v>
      </c>
      <c r="Q2" s="5" t="s">
        <v>20</v>
      </c>
    </row>
    <row r="3" customFormat="false" ht="13.8" hidden="false" customHeight="false" outlineLevel="0" collapsed="false">
      <c r="A3" s="5" t="n">
        <v>266</v>
      </c>
      <c r="B3" s="5" t="n">
        <v>133</v>
      </c>
      <c r="C3" s="8" t="s">
        <v>21</v>
      </c>
      <c r="D3" s="10" t="s">
        <v>22</v>
      </c>
      <c r="E3" s="8" t="s">
        <v>23</v>
      </c>
      <c r="F3" s="9" t="n">
        <v>1.30707853204482</v>
      </c>
      <c r="G3" s="9" t="n">
        <v>1.5</v>
      </c>
      <c r="H3" s="9" t="n">
        <f aca="false">(G3-F3)*100/F3</f>
        <v>14.759745740248</v>
      </c>
      <c r="I3" s="9"/>
      <c r="J3" s="9" t="n">
        <v>0.972</v>
      </c>
      <c r="K3" s="9" t="n">
        <v>0.2</v>
      </c>
      <c r="L3" s="9" t="n">
        <f aca="false">(K3-J3)*100/J3</f>
        <v>-79.4238683127572</v>
      </c>
      <c r="M3" s="9" t="n">
        <v>0.335078532044819</v>
      </c>
      <c r="N3" s="9" t="n">
        <v>74</v>
      </c>
      <c r="O3" s="9" t="n">
        <f aca="false">K3*100/G3</f>
        <v>13.3333333333333</v>
      </c>
      <c r="P3" s="5" t="s">
        <v>19</v>
      </c>
      <c r="Q3" s="5" t="s">
        <v>20</v>
      </c>
    </row>
    <row r="4" customFormat="false" ht="13.8" hidden="false" customHeight="false" outlineLevel="0" collapsed="false">
      <c r="A4" s="5" t="n">
        <v>871</v>
      </c>
      <c r="B4" s="5" t="n">
        <v>6</v>
      </c>
      <c r="C4" s="8" t="s">
        <v>24</v>
      </c>
      <c r="D4" s="10" t="s">
        <v>25</v>
      </c>
      <c r="E4" s="8" t="s">
        <v>23</v>
      </c>
      <c r="F4" s="9" t="n">
        <v>8.68273596286916</v>
      </c>
      <c r="G4" s="9" t="n">
        <v>9.44</v>
      </c>
      <c r="H4" s="9" t="n">
        <f aca="false">(G4-F4)*100/F4</f>
        <v>8.72149101814459</v>
      </c>
      <c r="I4" s="9"/>
      <c r="J4" s="9" t="n">
        <v>6.16</v>
      </c>
      <c r="K4" s="9" t="n">
        <v>4</v>
      </c>
      <c r="L4" s="9" t="n">
        <f aca="false">(K4-J4)*100/J4</f>
        <v>-35.0649350649351</v>
      </c>
      <c r="M4" s="9" t="n">
        <v>2.52273596286916</v>
      </c>
      <c r="N4" s="9" t="n">
        <v>71</v>
      </c>
      <c r="O4" s="9" t="n">
        <f aca="false">K4*100/G4</f>
        <v>42.3728813559322</v>
      </c>
      <c r="P4" s="5" t="s">
        <v>19</v>
      </c>
      <c r="Q4" s="5" t="s">
        <v>20</v>
      </c>
    </row>
    <row r="5" customFormat="false" ht="13.8" hidden="false" customHeight="false" outlineLevel="0" collapsed="false">
      <c r="A5" s="5" t="n">
        <v>664</v>
      </c>
      <c r="B5" s="5" t="n">
        <v>106</v>
      </c>
      <c r="C5" s="8" t="s">
        <v>26</v>
      </c>
      <c r="D5" s="10" t="s">
        <v>27</v>
      </c>
      <c r="E5" s="8" t="s">
        <v>28</v>
      </c>
      <c r="F5" s="9" t="n">
        <v>9.71357517480371</v>
      </c>
      <c r="G5" s="9" t="n">
        <v>10.8</v>
      </c>
      <c r="H5" s="9" t="n">
        <f aca="false">(G5-F5)*100/F5</f>
        <v>11.1846030492912</v>
      </c>
      <c r="I5" s="9"/>
      <c r="J5" s="9" t="n">
        <v>8.348</v>
      </c>
      <c r="K5" s="9" t="n">
        <v>1.8</v>
      </c>
      <c r="L5" s="9" t="n">
        <f aca="false">(K5-J5)*100/J5</f>
        <v>-78.4379492093915</v>
      </c>
      <c r="M5" s="9" t="n">
        <v>1.36557517480371</v>
      </c>
      <c r="N5" s="9" t="n">
        <v>86</v>
      </c>
      <c r="O5" s="9" t="n">
        <f aca="false">K5*100/G5</f>
        <v>16.6666666666667</v>
      </c>
      <c r="P5" s="5" t="s">
        <v>19</v>
      </c>
      <c r="Q5" s="5" t="s">
        <v>20</v>
      </c>
    </row>
    <row r="6" customFormat="false" ht="13.8" hidden="false" customHeight="false" outlineLevel="0" collapsed="false">
      <c r="A6" s="5" t="n">
        <v>725</v>
      </c>
      <c r="B6" s="5" t="n">
        <v>51</v>
      </c>
      <c r="C6" s="8" t="s">
        <v>29</v>
      </c>
      <c r="D6" s="10" t="s">
        <v>27</v>
      </c>
      <c r="E6" s="8" t="s">
        <v>28</v>
      </c>
      <c r="F6" s="9" t="n">
        <v>0.16632834203431</v>
      </c>
      <c r="G6" s="9" t="n">
        <v>0.2</v>
      </c>
      <c r="H6" s="9" t="n">
        <f aca="false">(G6-F6)*100/F6</f>
        <v>20.2440892236779</v>
      </c>
      <c r="I6" s="9"/>
      <c r="J6" s="9" t="n">
        <v>0.144</v>
      </c>
      <c r="K6" s="9" t="n">
        <v>0.05</v>
      </c>
      <c r="L6" s="9" t="n">
        <f aca="false">(K6-J6)*100/J6</f>
        <v>-65.2777777777778</v>
      </c>
      <c r="M6" s="9" t="n">
        <v>0.0223283420343101</v>
      </c>
      <c r="N6" s="9" t="n">
        <v>87</v>
      </c>
      <c r="O6" s="9" t="n">
        <f aca="false">K6*100/G6</f>
        <v>25</v>
      </c>
      <c r="P6" s="5" t="s">
        <v>19</v>
      </c>
      <c r="Q6" s="5" t="s">
        <v>20</v>
      </c>
    </row>
    <row r="7" customFormat="false" ht="13.8" hidden="false" customHeight="false" outlineLevel="0" collapsed="false">
      <c r="A7" s="5" t="n">
        <v>1271</v>
      </c>
      <c r="B7" s="5" t="n">
        <v>104</v>
      </c>
      <c r="C7" s="8" t="s">
        <v>30</v>
      </c>
      <c r="D7" s="10" t="s">
        <v>31</v>
      </c>
      <c r="E7" s="8" t="s">
        <v>28</v>
      </c>
      <c r="F7" s="9" t="n">
        <v>1.0156008564615</v>
      </c>
      <c r="G7" s="9" t="n">
        <v>2</v>
      </c>
      <c r="H7" s="9" t="n">
        <f aca="false">(G7-F7)*100/F7</f>
        <v>96.9277583093316</v>
      </c>
      <c r="I7" s="9"/>
      <c r="J7" s="9" t="n">
        <v>0.736</v>
      </c>
      <c r="K7" s="9" t="n">
        <v>0.3</v>
      </c>
      <c r="L7" s="9" t="n">
        <f aca="false">(K7-J7)*100/J7</f>
        <v>-59.2391304347826</v>
      </c>
      <c r="M7" s="9" t="n">
        <v>0.279600856461497</v>
      </c>
      <c r="N7" s="9" t="n">
        <v>72</v>
      </c>
      <c r="O7" s="9" t="n">
        <f aca="false">K7*100/G7</f>
        <v>15</v>
      </c>
      <c r="P7" s="5" t="s">
        <v>19</v>
      </c>
      <c r="Q7" s="5" t="s">
        <v>20</v>
      </c>
    </row>
    <row r="8" customFormat="false" ht="13.8" hidden="false" customHeight="false" outlineLevel="0" collapsed="false">
      <c r="A8" s="5" t="n">
        <v>2651</v>
      </c>
      <c r="B8" s="5" t="n">
        <v>188</v>
      </c>
      <c r="C8" s="8" t="s">
        <v>32</v>
      </c>
      <c r="D8" s="10" t="s">
        <v>33</v>
      </c>
      <c r="E8" s="8" t="s">
        <v>34</v>
      </c>
      <c r="F8" s="9" t="n">
        <v>1.20748288057589</v>
      </c>
      <c r="G8" s="9" t="n">
        <v>5.1</v>
      </c>
      <c r="H8" s="9" t="n">
        <f aca="false">(G8-F8)*100/F8</f>
        <v>322.366236577006</v>
      </c>
      <c r="I8" s="9" t="s">
        <v>35</v>
      </c>
      <c r="J8" s="9" t="n">
        <v>0.864</v>
      </c>
      <c r="K8" s="9" t="n">
        <v>0.3</v>
      </c>
      <c r="L8" s="9" t="n">
        <f aca="false">(K8-J8)*100/J8</f>
        <v>-65.2777777777778</v>
      </c>
      <c r="M8" s="9" t="n">
        <v>0.343482880575886</v>
      </c>
      <c r="N8" s="9" t="n">
        <v>72</v>
      </c>
      <c r="O8" s="9" t="n">
        <f aca="false">K8*100/G8</f>
        <v>5.88235294117647</v>
      </c>
      <c r="P8" s="5" t="s">
        <v>19</v>
      </c>
      <c r="Q8" s="5" t="s">
        <v>20</v>
      </c>
    </row>
    <row r="9" customFormat="false" ht="13.8" hidden="false" customHeight="false" outlineLevel="0" collapsed="false">
      <c r="A9" s="5" t="n">
        <v>2713</v>
      </c>
      <c r="B9" s="5" t="n">
        <v>185</v>
      </c>
      <c r="C9" s="8" t="s">
        <v>36</v>
      </c>
      <c r="D9" s="10" t="s">
        <v>33</v>
      </c>
      <c r="E9" s="8" t="s">
        <v>34</v>
      </c>
      <c r="F9" s="9" t="n">
        <v>0.707816712452213</v>
      </c>
      <c r="G9" s="9" t="n">
        <v>0.9</v>
      </c>
      <c r="H9" s="9" t="n">
        <f aca="false">(G9-F9)*100/F9</f>
        <v>27.1515611551432</v>
      </c>
      <c r="I9" s="9"/>
      <c r="J9" s="9" t="n">
        <v>0.592</v>
      </c>
      <c r="K9" s="9" t="n">
        <v>0.2</v>
      </c>
      <c r="L9" s="9" t="n">
        <f aca="false">(K9-J9)*100/J9</f>
        <v>-66.2162162162162</v>
      </c>
      <c r="M9" s="9" t="n">
        <v>0.115816712452213</v>
      </c>
      <c r="N9" s="9" t="n">
        <v>84</v>
      </c>
      <c r="O9" s="9" t="n">
        <f aca="false">K9*100/G9</f>
        <v>22.2222222222222</v>
      </c>
      <c r="P9" s="5" t="s">
        <v>19</v>
      </c>
      <c r="Q9" s="5" t="s">
        <v>20</v>
      </c>
    </row>
    <row r="10" customFormat="false" ht="14.9" hidden="false" customHeight="false" outlineLevel="0" collapsed="false">
      <c r="A10" s="5" t="n">
        <v>37</v>
      </c>
      <c r="B10" s="5" t="n">
        <v>1</v>
      </c>
      <c r="C10" s="6" t="s">
        <v>37</v>
      </c>
      <c r="D10" s="7" t="s">
        <v>38</v>
      </c>
      <c r="E10" s="8" t="s">
        <v>39</v>
      </c>
      <c r="F10" s="9" t="n">
        <v>125.315566309479</v>
      </c>
      <c r="G10" s="9" t="n">
        <v>75</v>
      </c>
      <c r="H10" s="9" t="n">
        <f aca="false">(G10-F10)*100/F10</f>
        <v>-40.1510903962401</v>
      </c>
      <c r="I10" s="9"/>
      <c r="J10" s="9" t="n">
        <v>90.004</v>
      </c>
      <c r="K10" s="9" t="n">
        <v>12</v>
      </c>
      <c r="L10" s="9" t="n">
        <f aca="false">(K10-J10)*100/J10</f>
        <v>-86.667259232923</v>
      </c>
      <c r="M10" s="9" t="n">
        <v>35.3115663094793</v>
      </c>
      <c r="N10" s="9" t="n">
        <v>72</v>
      </c>
      <c r="O10" s="9" t="n">
        <f aca="false">K10*100/G10</f>
        <v>16</v>
      </c>
      <c r="P10" s="5" t="s">
        <v>19</v>
      </c>
      <c r="Q10" s="5" t="s">
        <v>20</v>
      </c>
    </row>
    <row r="11" customFormat="false" ht="14.9" hidden="false" customHeight="false" outlineLevel="0" collapsed="false">
      <c r="A11" s="5" t="n">
        <v>38</v>
      </c>
      <c r="B11" s="5" t="n">
        <v>13</v>
      </c>
      <c r="C11" s="6" t="s">
        <v>40</v>
      </c>
      <c r="D11" s="7" t="s">
        <v>38</v>
      </c>
      <c r="E11" s="8" t="s">
        <v>39</v>
      </c>
      <c r="F11" s="9" t="n">
        <v>54.4640730498891</v>
      </c>
      <c r="G11" s="9" t="n">
        <v>36.6</v>
      </c>
      <c r="H11" s="9" t="n">
        <f aca="false">(G11-F11)*100/F11</f>
        <v>-32.799737605973</v>
      </c>
      <c r="I11" s="9"/>
      <c r="J11" s="9" t="n">
        <v>45.574</v>
      </c>
      <c r="K11" s="9" t="n">
        <v>5.4</v>
      </c>
      <c r="L11" s="9" t="n">
        <f aca="false">(K11-J11)*100/J11</f>
        <v>-88.1511388072146</v>
      </c>
      <c r="M11" s="9" t="n">
        <v>8.89007304988908</v>
      </c>
      <c r="N11" s="9" t="n">
        <v>84</v>
      </c>
      <c r="O11" s="9" t="n">
        <f aca="false">K11*100/G11</f>
        <v>14.7540983606557</v>
      </c>
      <c r="P11" s="5" t="s">
        <v>19</v>
      </c>
      <c r="Q11" s="5" t="s">
        <v>20</v>
      </c>
    </row>
    <row r="12" customFormat="false" ht="14.9" hidden="false" customHeight="false" outlineLevel="0" collapsed="false">
      <c r="A12" s="5" t="n">
        <v>56</v>
      </c>
      <c r="B12" s="5" t="n">
        <v>14</v>
      </c>
      <c r="C12" s="6" t="s">
        <v>41</v>
      </c>
      <c r="D12" s="7" t="s">
        <v>38</v>
      </c>
      <c r="E12" s="8" t="s">
        <v>39</v>
      </c>
      <c r="F12" s="9" t="n">
        <v>60.488859891691</v>
      </c>
      <c r="G12" s="9" t="n">
        <v>47.9</v>
      </c>
      <c r="H12" s="9" t="n">
        <f aca="false">(G12-F12)*100/F12</f>
        <v>-20.8118650512377</v>
      </c>
      <c r="I12" s="9"/>
      <c r="J12" s="9" t="n">
        <v>43.4165</v>
      </c>
      <c r="K12" s="9" t="n">
        <v>5.1</v>
      </c>
      <c r="L12" s="9" t="n">
        <f aca="false">(K12-J12)*100/J12</f>
        <v>-88.2533138322988</v>
      </c>
      <c r="M12" s="9" t="n">
        <v>17.072359891691</v>
      </c>
      <c r="N12" s="9" t="n">
        <v>72</v>
      </c>
      <c r="O12" s="9" t="n">
        <f aca="false">K12*100/G12</f>
        <v>10.6471816283925</v>
      </c>
      <c r="P12" s="5" t="s">
        <v>19</v>
      </c>
      <c r="Q12" s="5" t="s">
        <v>20</v>
      </c>
    </row>
    <row r="13" customFormat="false" ht="13.8" hidden="false" customHeight="false" outlineLevel="0" collapsed="false">
      <c r="A13" s="5" t="n">
        <v>546</v>
      </c>
      <c r="B13" s="5" t="n">
        <v>2</v>
      </c>
      <c r="C13" s="8" t="s">
        <v>42</v>
      </c>
      <c r="D13" s="10" t="s">
        <v>43</v>
      </c>
      <c r="E13" s="8" t="s">
        <v>39</v>
      </c>
      <c r="F13" s="9" t="n">
        <v>247.739234934894</v>
      </c>
      <c r="G13" s="9" t="n">
        <v>147.3</v>
      </c>
      <c r="H13" s="9" t="n">
        <f aca="false">(G13-F13)*100/F13</f>
        <v>-40.5423206224437</v>
      </c>
      <c r="I13" s="11"/>
      <c r="J13" s="9" t="n">
        <v>184.895</v>
      </c>
      <c r="K13" s="9" t="n">
        <v>25.9</v>
      </c>
      <c r="L13" s="9" t="n">
        <f aca="false">(K13-J13)*100/J13</f>
        <v>-85.9920495416317</v>
      </c>
      <c r="M13" s="9" t="n">
        <v>62.8442349348937</v>
      </c>
      <c r="N13" s="9" t="n">
        <v>75</v>
      </c>
      <c r="O13" s="9" t="n">
        <f aca="false">K13*100/G13</f>
        <v>17.5831636116769</v>
      </c>
      <c r="P13" s="5" t="s">
        <v>19</v>
      </c>
      <c r="Q13" s="5" t="s">
        <v>20</v>
      </c>
    </row>
    <row r="14" customFormat="false" ht="13.8" hidden="false" customHeight="false" outlineLevel="0" collapsed="false">
      <c r="A14" s="5" t="n">
        <v>2463</v>
      </c>
      <c r="B14" s="5" t="n">
        <v>9</v>
      </c>
      <c r="C14" s="8" t="s">
        <v>44</v>
      </c>
      <c r="D14" s="10" t="s">
        <v>45</v>
      </c>
      <c r="E14" s="8" t="s">
        <v>39</v>
      </c>
      <c r="F14" s="9" t="n">
        <v>116.15789030994</v>
      </c>
      <c r="G14" s="9" t="n">
        <v>75.7</v>
      </c>
      <c r="H14" s="9" t="n">
        <f aca="false">(G14-F14)*100/F14</f>
        <v>-34.8300836060193</v>
      </c>
      <c r="I14" s="9"/>
      <c r="J14" s="9" t="n">
        <v>100.012</v>
      </c>
      <c r="K14" s="9" t="n">
        <v>14.2</v>
      </c>
      <c r="L14" s="9" t="n">
        <f aca="false">(K14-J14)*100/J14</f>
        <v>-85.8017037955445</v>
      </c>
      <c r="M14" s="9" t="n">
        <v>16.1458903099404</v>
      </c>
      <c r="N14" s="9" t="n">
        <v>86</v>
      </c>
      <c r="O14" s="9" t="n">
        <f aca="false">K14*100/G14</f>
        <v>18.7582562747688</v>
      </c>
      <c r="P14" s="5" t="s">
        <v>19</v>
      </c>
      <c r="Q14" s="5" t="s">
        <v>20</v>
      </c>
    </row>
    <row r="15" customFormat="false" ht="13.8" hidden="false" customHeight="false" outlineLevel="0" collapsed="false">
      <c r="A15" s="5" t="n">
        <v>2485</v>
      </c>
      <c r="B15" s="5" t="n">
        <v>17</v>
      </c>
      <c r="C15" s="8" t="s">
        <v>46</v>
      </c>
      <c r="D15" s="10" t="s">
        <v>45</v>
      </c>
      <c r="E15" s="8" t="s">
        <v>39</v>
      </c>
      <c r="F15" s="9" t="n">
        <v>33.2568233667464</v>
      </c>
      <c r="G15" s="9" t="n">
        <v>29.3</v>
      </c>
      <c r="H15" s="9" t="n">
        <f aca="false">(G15-F15)*100/F15</f>
        <v>-11.8977790605908</v>
      </c>
      <c r="I15" s="9" t="s">
        <v>47</v>
      </c>
      <c r="J15" s="9" t="n">
        <v>24.843</v>
      </c>
      <c r="K15" s="9" t="n">
        <v>5.6</v>
      </c>
      <c r="L15" s="9" t="n">
        <f aca="false">(K15-J15)*100/J15</f>
        <v>-77.4584389969005</v>
      </c>
      <c r="M15" s="9" t="n">
        <v>8.41382336674643</v>
      </c>
      <c r="N15" s="9" t="n">
        <v>75</v>
      </c>
      <c r="O15" s="9" t="n">
        <f aca="false">K15*100/G15</f>
        <v>19.1126279863481</v>
      </c>
      <c r="P15" s="5" t="s">
        <v>19</v>
      </c>
      <c r="Q15" s="5" t="s">
        <v>20</v>
      </c>
    </row>
    <row r="16" customFormat="false" ht="13.8" hidden="false" customHeight="false" outlineLevel="0" collapsed="false">
      <c r="A16" s="12" t="n">
        <v>1345</v>
      </c>
      <c r="B16" s="12" t="n">
        <v>2</v>
      </c>
      <c r="C16" s="13" t="s">
        <v>48</v>
      </c>
      <c r="D16" s="14" t="s">
        <v>49</v>
      </c>
      <c r="E16" s="13" t="s">
        <v>50</v>
      </c>
      <c r="F16" s="15" t="n">
        <v>11.9971901981617</v>
      </c>
      <c r="G16" s="15"/>
      <c r="H16" s="15" t="n">
        <f aca="false">(G16-F16)*100/F16</f>
        <v>-100</v>
      </c>
      <c r="I16" s="15" t="s">
        <v>51</v>
      </c>
      <c r="J16" s="15" t="n">
        <v>10.512</v>
      </c>
      <c r="K16" s="15"/>
      <c r="L16" s="15" t="n">
        <f aca="false">(K16-J16)*100/J16</f>
        <v>-100</v>
      </c>
      <c r="M16" s="15" t="n">
        <v>1.4851901981617</v>
      </c>
      <c r="N16" s="15" t="n">
        <v>88</v>
      </c>
      <c r="O16" s="15"/>
      <c r="P16" s="12" t="s">
        <v>19</v>
      </c>
      <c r="Q16" s="12"/>
    </row>
    <row r="17" customFormat="false" ht="13.8" hidden="false" customHeight="false" outlineLevel="0" collapsed="false">
      <c r="A17" s="12" t="n">
        <v>1349</v>
      </c>
      <c r="B17" s="12" t="n">
        <v>12</v>
      </c>
      <c r="C17" s="13" t="s">
        <v>52</v>
      </c>
      <c r="D17" s="14" t="s">
        <v>49</v>
      </c>
      <c r="E17" s="13" t="s">
        <v>50</v>
      </c>
      <c r="F17" s="15" t="n">
        <v>8.84003488285599</v>
      </c>
      <c r="G17" s="15"/>
      <c r="H17" s="15" t="n">
        <f aca="false">(G17-F17)*100/F17</f>
        <v>-100</v>
      </c>
      <c r="I17" s="15"/>
      <c r="J17" s="15" t="n">
        <v>7.128</v>
      </c>
      <c r="K17" s="15"/>
      <c r="L17" s="15" t="n">
        <f aca="false">(K17-J17)*100/J17</f>
        <v>-100</v>
      </c>
      <c r="M17" s="15" t="n">
        <v>1.71203488285599</v>
      </c>
      <c r="N17" s="15" t="n">
        <v>81</v>
      </c>
      <c r="O17" s="15"/>
      <c r="P17" s="12" t="s">
        <v>19</v>
      </c>
      <c r="Q17" s="12"/>
    </row>
    <row r="18" customFormat="false" ht="13.8" hidden="false" customHeight="false" outlineLevel="0" collapsed="false">
      <c r="A18" s="12" t="n">
        <v>1347</v>
      </c>
      <c r="B18" s="12" t="n">
        <v>0</v>
      </c>
      <c r="C18" s="13" t="s">
        <v>53</v>
      </c>
      <c r="D18" s="14" t="s">
        <v>49</v>
      </c>
      <c r="E18" s="13" t="s">
        <v>54</v>
      </c>
      <c r="F18" s="15" t="n">
        <v>7.85145477519193</v>
      </c>
      <c r="G18" s="15"/>
      <c r="H18" s="15" t="n">
        <f aca="false">(G18-F18)*100/F18</f>
        <v>-100</v>
      </c>
      <c r="I18" s="15"/>
      <c r="J18" s="15" t="n">
        <v>6.12</v>
      </c>
      <c r="K18" s="15"/>
      <c r="L18" s="15" t="n">
        <f aca="false">(K18-J18)*100/J18</f>
        <v>-100</v>
      </c>
      <c r="M18" s="15" t="n">
        <v>1.73145477519193</v>
      </c>
      <c r="N18" s="15" t="n">
        <v>78</v>
      </c>
      <c r="O18" s="15"/>
      <c r="P18" s="12" t="s">
        <v>19</v>
      </c>
      <c r="Q18" s="12"/>
    </row>
    <row r="19" customFormat="false" ht="13.8" hidden="false" customHeight="false" outlineLevel="0" collapsed="false">
      <c r="A19" s="12" t="n">
        <v>1348</v>
      </c>
      <c r="B19" s="12" t="n">
        <v>0</v>
      </c>
      <c r="C19" s="13" t="s">
        <v>55</v>
      </c>
      <c r="D19" s="14" t="s">
        <v>49</v>
      </c>
      <c r="E19" s="13" t="s">
        <v>54</v>
      </c>
      <c r="F19" s="15" t="n">
        <v>6.07553048080328</v>
      </c>
      <c r="G19" s="15"/>
      <c r="H19" s="15" t="n">
        <f aca="false">(G19-F19)*100/F19</f>
        <v>-100</v>
      </c>
      <c r="I19" s="15"/>
      <c r="J19" s="15" t="n">
        <v>5.184</v>
      </c>
      <c r="K19" s="15"/>
      <c r="L19" s="15" t="n">
        <f aca="false">(K19-J19)*100/J19</f>
        <v>-100</v>
      </c>
      <c r="M19" s="15" t="n">
        <v>0.891530480803276</v>
      </c>
      <c r="N19" s="15" t="n">
        <v>85</v>
      </c>
      <c r="O19" s="15"/>
      <c r="P19" s="12" t="s">
        <v>19</v>
      </c>
      <c r="Q19" s="12"/>
    </row>
    <row r="20" customFormat="false" ht="13.8" hidden="false" customHeight="false" outlineLevel="0" collapsed="false">
      <c r="A20" s="12" t="n">
        <v>1357</v>
      </c>
      <c r="B20" s="12" t="n">
        <v>0</v>
      </c>
      <c r="C20" s="13" t="s">
        <v>56</v>
      </c>
      <c r="D20" s="14" t="s">
        <v>49</v>
      </c>
      <c r="E20" s="13" t="s">
        <v>54</v>
      </c>
      <c r="F20" s="15" t="n">
        <v>5.79512138168928</v>
      </c>
      <c r="G20" s="15"/>
      <c r="H20" s="15" t="n">
        <f aca="false">(G20-F20)*100/F20</f>
        <v>-100</v>
      </c>
      <c r="I20" s="15"/>
      <c r="J20" s="15" t="n">
        <v>4.536</v>
      </c>
      <c r="K20" s="15"/>
      <c r="L20" s="15" t="n">
        <f aca="false">(K20-J20)*100/J20</f>
        <v>-100</v>
      </c>
      <c r="M20" s="15" t="n">
        <v>1.25912138168928</v>
      </c>
      <c r="N20" s="15" t="n">
        <v>78</v>
      </c>
      <c r="O20" s="15"/>
      <c r="P20" s="12" t="s">
        <v>19</v>
      </c>
      <c r="Q20" s="12"/>
    </row>
    <row r="21" customFormat="false" ht="13.8" hidden="false" customHeight="false" outlineLevel="0" collapsed="false">
      <c r="A21" s="12" t="n">
        <v>1358</v>
      </c>
      <c r="B21" s="12" t="n">
        <v>0</v>
      </c>
      <c r="C21" s="13" t="s">
        <v>57</v>
      </c>
      <c r="D21" s="14" t="s">
        <v>49</v>
      </c>
      <c r="E21" s="13" t="s">
        <v>54</v>
      </c>
      <c r="F21" s="15" t="n">
        <v>7.1036971775546</v>
      </c>
      <c r="G21" s="15"/>
      <c r="H21" s="15" t="n">
        <f aca="false">(G21-F21)*100/F21</f>
        <v>-100</v>
      </c>
      <c r="I21" s="15"/>
      <c r="J21" s="15" t="n">
        <v>5.472</v>
      </c>
      <c r="K21" s="15"/>
      <c r="L21" s="15" t="n">
        <f aca="false">(K21-J21)*100/J21</f>
        <v>-100</v>
      </c>
      <c r="M21" s="15" t="n">
        <v>1.6316971775546</v>
      </c>
      <c r="N21" s="15" t="n">
        <v>77</v>
      </c>
      <c r="O21" s="15"/>
      <c r="P21" s="12" t="s">
        <v>19</v>
      </c>
      <c r="Q21" s="12"/>
    </row>
    <row r="22" customFormat="false" ht="13.8" hidden="false" customHeight="false" outlineLevel="0" collapsed="false">
      <c r="A22" s="12" t="n">
        <v>1359</v>
      </c>
      <c r="B22" s="12" t="n">
        <v>0</v>
      </c>
      <c r="C22" s="13" t="s">
        <v>58</v>
      </c>
      <c r="D22" s="14" t="s">
        <v>49</v>
      </c>
      <c r="E22" s="13" t="s">
        <v>54</v>
      </c>
      <c r="F22" s="15" t="n">
        <v>5.14083348375662</v>
      </c>
      <c r="G22" s="15"/>
      <c r="H22" s="15" t="n">
        <f aca="false">(G22-F22)*100/F22</f>
        <v>-100</v>
      </c>
      <c r="I22" s="15"/>
      <c r="J22" s="15" t="n">
        <v>4.32</v>
      </c>
      <c r="K22" s="15"/>
      <c r="L22" s="15" t="n">
        <f aca="false">(K22-J22)*100/J22</f>
        <v>-100</v>
      </c>
      <c r="M22" s="15" t="n">
        <v>0.820833483756619</v>
      </c>
      <c r="N22" s="15" t="n">
        <v>84</v>
      </c>
      <c r="O22" s="15"/>
      <c r="P22" s="12" t="s">
        <v>19</v>
      </c>
      <c r="Q22" s="12"/>
    </row>
    <row r="23" customFormat="false" ht="13.8" hidden="false" customHeight="false" outlineLevel="0" collapsed="false">
      <c r="A23" s="12" t="n">
        <v>1361</v>
      </c>
      <c r="B23" s="12" t="n">
        <v>0</v>
      </c>
      <c r="C23" s="13" t="s">
        <v>59</v>
      </c>
      <c r="D23" s="14" t="s">
        <v>49</v>
      </c>
      <c r="E23" s="13" t="s">
        <v>54</v>
      </c>
      <c r="F23" s="15" t="n">
        <v>7.94492447489659</v>
      </c>
      <c r="G23" s="15"/>
      <c r="H23" s="15" t="n">
        <f aca="false">(G23-F23)*100/F23</f>
        <v>-100</v>
      </c>
      <c r="I23" s="15"/>
      <c r="J23" s="15" t="n">
        <v>6.624</v>
      </c>
      <c r="K23" s="15"/>
      <c r="L23" s="15" t="n">
        <f aca="false">(K23-J23)*100/J23</f>
        <v>-100</v>
      </c>
      <c r="M23" s="15" t="n">
        <v>1.32092447489659</v>
      </c>
      <c r="N23" s="15" t="n">
        <v>83</v>
      </c>
      <c r="O23" s="15"/>
      <c r="P23" s="12" t="s">
        <v>19</v>
      </c>
      <c r="Q23" s="12"/>
    </row>
    <row r="24" customFormat="false" ht="13.8" hidden="false" customHeight="false" outlineLevel="0" collapsed="false">
      <c r="A24" s="12" t="n">
        <v>1362</v>
      </c>
      <c r="B24" s="12" t="n">
        <v>0</v>
      </c>
      <c r="C24" s="13" t="s">
        <v>60</v>
      </c>
      <c r="D24" s="14" t="s">
        <v>49</v>
      </c>
      <c r="E24" s="13" t="s">
        <v>54</v>
      </c>
      <c r="F24" s="15" t="n">
        <v>7.19716687725927</v>
      </c>
      <c r="G24" s="15"/>
      <c r="H24" s="15" t="n">
        <f aca="false">(G24-F24)*100/F24</f>
        <v>-100</v>
      </c>
      <c r="I24" s="15"/>
      <c r="J24" s="15" t="n">
        <v>5.976</v>
      </c>
      <c r="K24" s="15"/>
      <c r="L24" s="15" t="n">
        <f aca="false">(K24-J24)*100/J24</f>
        <v>-100</v>
      </c>
      <c r="M24" s="15" t="n">
        <v>1.22116687725927</v>
      </c>
      <c r="N24" s="15" t="n">
        <v>83</v>
      </c>
      <c r="O24" s="15"/>
      <c r="P24" s="12" t="s">
        <v>19</v>
      </c>
      <c r="Q24" s="12"/>
    </row>
    <row r="25" customFormat="false" ht="13.8" hidden="false" customHeight="false" outlineLevel="0" collapsed="false">
      <c r="A25" s="12" t="n">
        <v>1363</v>
      </c>
      <c r="B25" s="12" t="n">
        <v>0</v>
      </c>
      <c r="C25" s="13" t="s">
        <v>61</v>
      </c>
      <c r="D25" s="14" t="s">
        <v>49</v>
      </c>
      <c r="E25" s="13" t="s">
        <v>54</v>
      </c>
      <c r="F25" s="15" t="n">
        <v>8.97309117164792</v>
      </c>
      <c r="G25" s="15"/>
      <c r="H25" s="15" t="n">
        <f aca="false">(G25-F25)*100/F25</f>
        <v>-100</v>
      </c>
      <c r="I25" s="15"/>
      <c r="J25" s="15" t="n">
        <v>6.984</v>
      </c>
      <c r="K25" s="15"/>
      <c r="L25" s="15" t="n">
        <f aca="false">(K25-J25)*100/J25</f>
        <v>-100</v>
      </c>
      <c r="M25" s="15" t="n">
        <v>1.98909117164792</v>
      </c>
      <c r="N25" s="15" t="n">
        <v>78</v>
      </c>
      <c r="O25" s="15"/>
      <c r="P25" s="12" t="s">
        <v>19</v>
      </c>
      <c r="Q25" s="12"/>
    </row>
    <row r="26" customFormat="false" ht="13.8" hidden="false" customHeight="false" outlineLevel="0" collapsed="false">
      <c r="A26" s="12" t="n">
        <v>1368</v>
      </c>
      <c r="B26" s="12" t="n">
        <v>0</v>
      </c>
      <c r="C26" s="13" t="s">
        <v>62</v>
      </c>
      <c r="D26" s="14" t="s">
        <v>49</v>
      </c>
      <c r="E26" s="13" t="s">
        <v>54</v>
      </c>
      <c r="F26" s="15" t="n">
        <v>6.16900018050794</v>
      </c>
      <c r="G26" s="15"/>
      <c r="H26" s="15" t="n">
        <f aca="false">(G26-F26)*100/F26</f>
        <v>-100</v>
      </c>
      <c r="I26" s="15"/>
      <c r="J26" s="15" t="n">
        <v>5.328</v>
      </c>
      <c r="K26" s="15"/>
      <c r="L26" s="15" t="n">
        <f aca="false">(K26-J26)*100/J26</f>
        <v>-100</v>
      </c>
      <c r="M26" s="15" t="n">
        <v>0.841000180507942</v>
      </c>
      <c r="N26" s="15" t="n">
        <v>86</v>
      </c>
      <c r="O26" s="15"/>
      <c r="P26" s="12" t="s">
        <v>19</v>
      </c>
      <c r="Q26" s="12"/>
    </row>
    <row r="27" customFormat="false" ht="13.8" hidden="false" customHeight="false" outlineLevel="0" collapsed="false">
      <c r="A27" s="12" t="n">
        <v>1369</v>
      </c>
      <c r="B27" s="12" t="n">
        <v>0</v>
      </c>
      <c r="C27" s="13" t="s">
        <v>63</v>
      </c>
      <c r="D27" s="14" t="s">
        <v>49</v>
      </c>
      <c r="E27" s="13" t="s">
        <v>54</v>
      </c>
      <c r="F27" s="15" t="n">
        <v>7.75798507548726</v>
      </c>
      <c r="G27" s="15"/>
      <c r="H27" s="15" t="n">
        <f aca="false">(G27-F27)*100/F27</f>
        <v>-100</v>
      </c>
      <c r="I27" s="15"/>
      <c r="J27" s="15" t="n">
        <v>6.624</v>
      </c>
      <c r="K27" s="15"/>
      <c r="L27" s="15" t="n">
        <f aca="false">(K27-J27)*100/J27</f>
        <v>-100</v>
      </c>
      <c r="M27" s="15" t="n">
        <v>1.13398507548726</v>
      </c>
      <c r="N27" s="15" t="n">
        <v>85</v>
      </c>
      <c r="O27" s="15"/>
      <c r="P27" s="12" t="s">
        <v>19</v>
      </c>
      <c r="Q27" s="12"/>
    </row>
    <row r="28" customFormat="false" ht="13.8" hidden="false" customHeight="false" outlineLevel="0" collapsed="false">
      <c r="A28" s="12" t="n">
        <v>1378</v>
      </c>
      <c r="B28" s="12" t="n">
        <v>0</v>
      </c>
      <c r="C28" s="13" t="s">
        <v>64</v>
      </c>
      <c r="D28" s="14" t="s">
        <v>49</v>
      </c>
      <c r="E28" s="13" t="s">
        <v>54</v>
      </c>
      <c r="F28" s="15" t="n">
        <v>8.69268207253392</v>
      </c>
      <c r="G28" s="15"/>
      <c r="H28" s="15" t="n">
        <f aca="false">(G28-F28)*100/F28</f>
        <v>-100</v>
      </c>
      <c r="I28" s="15"/>
      <c r="J28" s="15" t="n">
        <v>7.704</v>
      </c>
      <c r="K28" s="15"/>
      <c r="L28" s="15" t="n">
        <f aca="false">(K28-J28)*100/J28</f>
        <v>-100</v>
      </c>
      <c r="M28" s="15" t="n">
        <v>0.988682072533919</v>
      </c>
      <c r="N28" s="15" t="n">
        <v>89</v>
      </c>
      <c r="O28" s="15"/>
      <c r="P28" s="12" t="s">
        <v>19</v>
      </c>
      <c r="Q28" s="12"/>
    </row>
    <row r="29" customFormat="false" ht="13.8" hidden="false" customHeight="false" outlineLevel="0" collapsed="false">
      <c r="A29" s="12" t="n">
        <v>1622</v>
      </c>
      <c r="B29" s="12" t="n">
        <v>12</v>
      </c>
      <c r="C29" s="13" t="s">
        <v>65</v>
      </c>
      <c r="D29" s="14" t="s">
        <v>66</v>
      </c>
      <c r="E29" s="13" t="s">
        <v>54</v>
      </c>
      <c r="F29" s="15" t="n">
        <v>45.4262740564676</v>
      </c>
      <c r="G29" s="15"/>
      <c r="H29" s="15" t="n">
        <f aca="false">(G29-F29)*100/F29</f>
        <v>-100</v>
      </c>
      <c r="I29" s="15"/>
      <c r="J29" s="15" t="n">
        <v>34.698</v>
      </c>
      <c r="K29" s="15"/>
      <c r="L29" s="15" t="n">
        <f aca="false">(K29-J29)*100/J29</f>
        <v>-100</v>
      </c>
      <c r="M29" s="15" t="n">
        <v>10.7282740564676</v>
      </c>
      <c r="N29" s="15" t="n">
        <v>76</v>
      </c>
      <c r="O29" s="15"/>
      <c r="P29" s="12" t="s">
        <v>19</v>
      </c>
      <c r="Q29" s="12"/>
    </row>
    <row r="30" customFormat="false" ht="13.8" hidden="false" customHeight="false" outlineLevel="0" collapsed="false">
      <c r="A30" s="12" t="n">
        <v>1646</v>
      </c>
      <c r="B30" s="12" t="n">
        <v>7</v>
      </c>
      <c r="C30" s="13" t="s">
        <v>67</v>
      </c>
      <c r="D30" s="14" t="s">
        <v>66</v>
      </c>
      <c r="E30" s="13" t="s">
        <v>54</v>
      </c>
      <c r="F30" s="15" t="n">
        <v>38.042167779799</v>
      </c>
      <c r="G30" s="15"/>
      <c r="H30" s="15" t="n">
        <f aca="false">(G30-F30)*100/F30</f>
        <v>-100</v>
      </c>
      <c r="I30" s="15"/>
      <c r="J30" s="15" t="n">
        <v>28.78</v>
      </c>
      <c r="K30" s="15"/>
      <c r="L30" s="15" t="n">
        <f aca="false">(K30-J30)*100/J30</f>
        <v>-100</v>
      </c>
      <c r="M30" s="15" t="n">
        <v>9.26216777979898</v>
      </c>
      <c r="N30" s="15" t="n">
        <v>76</v>
      </c>
      <c r="O30" s="15"/>
      <c r="P30" s="12" t="s">
        <v>19</v>
      </c>
      <c r="Q30" s="12"/>
    </row>
    <row r="31" customFormat="false" ht="13.8" hidden="false" customHeight="false" outlineLevel="0" collapsed="false">
      <c r="A31" s="12" t="n">
        <v>2891</v>
      </c>
      <c r="B31" s="12" t="n">
        <v>4</v>
      </c>
      <c r="C31" s="13" t="s">
        <v>68</v>
      </c>
      <c r="D31" s="14" t="s">
        <v>69</v>
      </c>
      <c r="E31" s="13" t="s">
        <v>54</v>
      </c>
      <c r="F31" s="15" t="n">
        <v>42.9025921644416</v>
      </c>
      <c r="G31" s="15"/>
      <c r="H31" s="15" t="n">
        <f aca="false">(G31-F31)*100/F31</f>
        <v>-100</v>
      </c>
      <c r="I31" s="15"/>
      <c r="J31" s="15" t="n">
        <v>35.7375</v>
      </c>
      <c r="K31" s="15"/>
      <c r="L31" s="15" t="n">
        <f aca="false">(K31-J31)*100/J31</f>
        <v>-100</v>
      </c>
      <c r="M31" s="15" t="n">
        <v>7.1650921644416</v>
      </c>
      <c r="N31" s="15" t="n">
        <v>83</v>
      </c>
      <c r="O31" s="15"/>
      <c r="P31" s="12" t="s">
        <v>19</v>
      </c>
      <c r="Q31" s="12"/>
    </row>
    <row r="32" customFormat="false" ht="13.8" hidden="false" customHeight="false" outlineLevel="0" collapsed="false">
      <c r="A32" s="12" t="n">
        <v>2498</v>
      </c>
      <c r="B32" s="12" t="n">
        <v>12</v>
      </c>
      <c r="C32" s="13" t="s">
        <v>70</v>
      </c>
      <c r="D32" s="14" t="s">
        <v>71</v>
      </c>
      <c r="E32" s="13" t="s">
        <v>72</v>
      </c>
      <c r="F32" s="15" t="n">
        <v>24.5079809502579</v>
      </c>
      <c r="G32" s="15"/>
      <c r="H32" s="15" t="n">
        <f aca="false">(G32-F32)*100/F32</f>
        <v>-100</v>
      </c>
      <c r="I32" s="15"/>
      <c r="J32" s="15" t="n">
        <v>17.6095</v>
      </c>
      <c r="K32" s="15"/>
      <c r="L32" s="15" t="n">
        <f aca="false">(K32-J32)*100/J32</f>
        <v>-100</v>
      </c>
      <c r="M32" s="15" t="n">
        <v>6.89848095025793</v>
      </c>
      <c r="N32" s="15" t="n">
        <v>72</v>
      </c>
      <c r="O32" s="15"/>
      <c r="P32" s="12" t="s">
        <v>19</v>
      </c>
      <c r="Q32" s="12"/>
    </row>
    <row r="33" customFormat="false" ht="13.8" hidden="false" customHeight="false" outlineLevel="0" collapsed="false">
      <c r="A33" s="12" t="n">
        <v>1402</v>
      </c>
      <c r="B33" s="12" t="n">
        <v>20</v>
      </c>
      <c r="C33" s="13" t="s">
        <v>73</v>
      </c>
      <c r="D33" s="14" t="s">
        <v>49</v>
      </c>
      <c r="E33" s="13" t="s">
        <v>74</v>
      </c>
      <c r="F33" s="15" t="n">
        <v>12.8869500218527</v>
      </c>
      <c r="G33" s="15"/>
      <c r="H33" s="15" t="n">
        <f aca="false">(G33-F33)*100/F33</f>
        <v>-100</v>
      </c>
      <c r="I33" s="15"/>
      <c r="J33" s="15" t="n">
        <v>9.864</v>
      </c>
      <c r="K33" s="15"/>
      <c r="L33" s="15" t="n">
        <f aca="false">(K33-J33)*100/J33</f>
        <v>-100</v>
      </c>
      <c r="M33" s="15" t="n">
        <v>3.02295002185265</v>
      </c>
      <c r="N33" s="15" t="n">
        <v>77</v>
      </c>
      <c r="O33" s="15"/>
      <c r="P33" s="12" t="s">
        <v>19</v>
      </c>
      <c r="Q33" s="12"/>
    </row>
    <row r="34" customFormat="false" ht="13.8" hidden="false" customHeight="false" outlineLevel="0" collapsed="false">
      <c r="A34" s="12" t="n">
        <v>1403</v>
      </c>
      <c r="B34" s="12" t="n">
        <v>1</v>
      </c>
      <c r="C34" s="13" t="s">
        <v>75</v>
      </c>
      <c r="D34" s="14" t="s">
        <v>49</v>
      </c>
      <c r="E34" s="13" t="s">
        <v>74</v>
      </c>
      <c r="F34" s="15" t="n">
        <v>8.76844022105438</v>
      </c>
      <c r="G34" s="15"/>
      <c r="H34" s="15" t="n">
        <f aca="false">(G34-F34)*100/F34</f>
        <v>-100</v>
      </c>
      <c r="I34" s="15"/>
      <c r="J34" s="15" t="n">
        <v>7.272</v>
      </c>
      <c r="K34" s="15"/>
      <c r="L34" s="15" t="n">
        <f aca="false">(K34-J34)*100/J34</f>
        <v>-100</v>
      </c>
      <c r="M34" s="15" t="n">
        <v>1.49644022105438</v>
      </c>
      <c r="N34" s="15" t="n">
        <v>83</v>
      </c>
      <c r="O34" s="15"/>
      <c r="P34" s="12" t="s">
        <v>19</v>
      </c>
      <c r="Q34" s="12"/>
    </row>
    <row r="35" customFormat="false" ht="13.8" hidden="false" customHeight="false" outlineLevel="0" collapsed="false">
      <c r="A35" s="12" t="n">
        <v>2792</v>
      </c>
      <c r="B35" s="12" t="n">
        <v>27</v>
      </c>
      <c r="C35" s="13" t="s">
        <v>76</v>
      </c>
      <c r="D35" s="14" t="s">
        <v>77</v>
      </c>
      <c r="E35" s="13" t="s">
        <v>78</v>
      </c>
      <c r="F35" s="15" t="n">
        <v>11.9404856403459</v>
      </c>
      <c r="G35" s="15"/>
      <c r="H35" s="15" t="n">
        <f aca="false">(G35-F35)*100/F35</f>
        <v>-100</v>
      </c>
      <c r="I35" s="15"/>
      <c r="J35" s="15" t="n">
        <v>8.827</v>
      </c>
      <c r="K35" s="15"/>
      <c r="L35" s="15" t="n">
        <f aca="false">(K35-J35)*100/J35</f>
        <v>-100</v>
      </c>
      <c r="M35" s="15" t="n">
        <v>3.11348564034594</v>
      </c>
      <c r="N35" s="15" t="n">
        <v>74</v>
      </c>
      <c r="O35" s="15"/>
      <c r="P35" s="12" t="s">
        <v>19</v>
      </c>
      <c r="Q35" s="12"/>
    </row>
    <row r="36" customFormat="false" ht="13.8" hidden="false" customHeight="false" outlineLevel="0" collapsed="false">
      <c r="A36" s="12" t="n">
        <v>2912</v>
      </c>
      <c r="B36" s="12" t="n">
        <v>17</v>
      </c>
      <c r="C36" s="13" t="s">
        <v>79</v>
      </c>
      <c r="D36" s="14" t="s">
        <v>80</v>
      </c>
      <c r="E36" s="13" t="s">
        <v>78</v>
      </c>
      <c r="F36" s="15" t="n">
        <v>37.1921630239267</v>
      </c>
      <c r="G36" s="15"/>
      <c r="H36" s="15" t="n">
        <f aca="false">(G36-F36)*100/F36</f>
        <v>-100</v>
      </c>
      <c r="I36" s="15"/>
      <c r="J36" s="15" t="n">
        <v>28.962</v>
      </c>
      <c r="K36" s="15"/>
      <c r="L36" s="15" t="n">
        <f aca="false">(K36-J36)*100/J36</f>
        <v>-100</v>
      </c>
      <c r="M36" s="15" t="n">
        <v>8.23016302392664</v>
      </c>
      <c r="N36" s="15" t="n">
        <v>78</v>
      </c>
      <c r="O36" s="15"/>
      <c r="P36" s="12" t="s">
        <v>19</v>
      </c>
      <c r="Q36" s="12"/>
    </row>
    <row r="37" customFormat="false" ht="13.8" hidden="false" customHeight="false" outlineLevel="0" collapsed="false">
      <c r="A37" s="12" t="n">
        <v>2930</v>
      </c>
      <c r="B37" s="12" t="n">
        <v>9</v>
      </c>
      <c r="C37" s="13" t="s">
        <v>81</v>
      </c>
      <c r="D37" s="14" t="s">
        <v>80</v>
      </c>
      <c r="E37" s="13" t="s">
        <v>82</v>
      </c>
      <c r="F37" s="15" t="n">
        <v>27.1023550515209</v>
      </c>
      <c r="G37" s="15"/>
      <c r="H37" s="15" t="n">
        <f aca="false">(G37-F37)*100/F37</f>
        <v>-100</v>
      </c>
      <c r="I37" s="15"/>
      <c r="J37" s="15" t="n">
        <v>20.324</v>
      </c>
      <c r="K37" s="15"/>
      <c r="L37" s="15" t="n">
        <f aca="false">(K37-J37)*100/J37</f>
        <v>-100</v>
      </c>
      <c r="M37" s="15" t="n">
        <v>6.77835505152094</v>
      </c>
      <c r="N37" s="15" t="n">
        <v>75</v>
      </c>
      <c r="O37" s="15"/>
      <c r="P37" s="12" t="s">
        <v>19</v>
      </c>
      <c r="Q37" s="12"/>
    </row>
    <row r="38" customFormat="false" ht="14.9" hidden="false" customHeight="false" outlineLevel="0" collapsed="false">
      <c r="A38" s="12" t="n">
        <v>16</v>
      </c>
      <c r="B38" s="12" t="n">
        <v>26</v>
      </c>
      <c r="C38" s="16" t="s">
        <v>83</v>
      </c>
      <c r="D38" s="17" t="s">
        <v>17</v>
      </c>
      <c r="E38" s="13" t="s">
        <v>84</v>
      </c>
      <c r="F38" s="15" t="n">
        <v>49.0067608175175</v>
      </c>
      <c r="G38" s="15"/>
      <c r="H38" s="15" t="n">
        <f aca="false">(G38-F38)*100/F38</f>
        <v>-100</v>
      </c>
      <c r="I38" s="15"/>
      <c r="J38" s="15" t="n">
        <v>35.819</v>
      </c>
      <c r="K38" s="15"/>
      <c r="L38" s="15" t="n">
        <f aca="false">(K38-J38)*100/J38</f>
        <v>-100</v>
      </c>
      <c r="M38" s="15" t="n">
        <v>13.1877608175175</v>
      </c>
      <c r="N38" s="15" t="n">
        <v>73</v>
      </c>
      <c r="O38" s="15"/>
      <c r="P38" s="12" t="s">
        <v>19</v>
      </c>
      <c r="Q38" s="12"/>
    </row>
    <row r="39" customFormat="false" ht="13.8" hidden="false" customHeight="false" outlineLevel="0" collapsed="false">
      <c r="A39" s="12" t="n">
        <v>517</v>
      </c>
      <c r="B39" s="12" t="n">
        <v>5</v>
      </c>
      <c r="C39" s="13" t="s">
        <v>85</v>
      </c>
      <c r="D39" s="14" t="s">
        <v>86</v>
      </c>
      <c r="E39" s="13" t="s">
        <v>84</v>
      </c>
      <c r="F39" s="15" t="n">
        <v>23.6957216215156</v>
      </c>
      <c r="G39" s="15"/>
      <c r="H39" s="15" t="n">
        <f aca="false">(G39-F39)*100/F39</f>
        <v>-100</v>
      </c>
      <c r="I39" s="15"/>
      <c r="J39" s="15" t="n">
        <v>21.396</v>
      </c>
      <c r="K39" s="15"/>
      <c r="L39" s="15" t="n">
        <f aca="false">(K39-J39)*100/J39</f>
        <v>-100</v>
      </c>
      <c r="M39" s="15" t="n">
        <v>2.2997216215156</v>
      </c>
      <c r="N39" s="15" t="n">
        <v>90</v>
      </c>
      <c r="O39" s="15"/>
      <c r="P39" s="12" t="s">
        <v>19</v>
      </c>
      <c r="Q39" s="12"/>
    </row>
    <row r="40" customFormat="false" ht="13.8" hidden="false" customHeight="false" outlineLevel="0" collapsed="false">
      <c r="A40" s="12" t="n">
        <v>1873</v>
      </c>
      <c r="B40" s="12" t="n">
        <v>13</v>
      </c>
      <c r="C40" s="13" t="s">
        <v>87</v>
      </c>
      <c r="D40" s="14" t="s">
        <v>88</v>
      </c>
      <c r="E40" s="13" t="s">
        <v>84</v>
      </c>
      <c r="F40" s="15" t="n">
        <v>16.178458210552</v>
      </c>
      <c r="G40" s="15"/>
      <c r="H40" s="15" t="n">
        <f aca="false">(G40-F40)*100/F40</f>
        <v>-100</v>
      </c>
      <c r="I40" s="15"/>
      <c r="J40" s="15" t="n">
        <v>12.3</v>
      </c>
      <c r="K40" s="15"/>
      <c r="L40" s="15" t="n">
        <f aca="false">(K40-J40)*100/J40</f>
        <v>-100</v>
      </c>
      <c r="M40" s="15" t="n">
        <v>3.87845821055203</v>
      </c>
      <c r="N40" s="15" t="n">
        <v>76</v>
      </c>
      <c r="O40" s="15"/>
      <c r="P40" s="12" t="s">
        <v>19</v>
      </c>
      <c r="Q40" s="12"/>
    </row>
    <row r="41" customFormat="false" ht="13.8" hidden="false" customHeight="false" outlineLevel="0" collapsed="false">
      <c r="A41" s="12" t="n">
        <v>1882</v>
      </c>
      <c r="B41" s="12" t="n">
        <v>1</v>
      </c>
      <c r="C41" s="13" t="s">
        <v>89</v>
      </c>
      <c r="D41" s="14" t="s">
        <v>88</v>
      </c>
      <c r="E41" s="13" t="s">
        <v>84</v>
      </c>
      <c r="F41" s="15" t="n">
        <v>151.830762042002</v>
      </c>
      <c r="G41" s="15"/>
      <c r="H41" s="15" t="n">
        <f aca="false">(G41-F41)*100/F41</f>
        <v>-100</v>
      </c>
      <c r="I41" s="15"/>
      <c r="J41" s="15" t="n">
        <v>129.638</v>
      </c>
      <c r="K41" s="15"/>
      <c r="L41" s="15" t="n">
        <f aca="false">(K41-J41)*100/J41</f>
        <v>-100</v>
      </c>
      <c r="M41" s="15" t="n">
        <v>22.1927620420019</v>
      </c>
      <c r="N41" s="15" t="n">
        <v>85</v>
      </c>
      <c r="O41" s="15"/>
      <c r="P41" s="12" t="s">
        <v>19</v>
      </c>
      <c r="Q41" s="12"/>
    </row>
    <row r="42" customFormat="false" ht="13.8" hidden="false" customHeight="false" outlineLevel="0" collapsed="false">
      <c r="A42" s="12" t="n">
        <v>1897</v>
      </c>
      <c r="B42" s="12" t="n">
        <v>23</v>
      </c>
      <c r="C42" s="13" t="s">
        <v>90</v>
      </c>
      <c r="D42" s="14" t="s">
        <v>88</v>
      </c>
      <c r="E42" s="13" t="s">
        <v>84</v>
      </c>
      <c r="F42" s="15" t="n">
        <v>26.4738407081761</v>
      </c>
      <c r="G42" s="15"/>
      <c r="H42" s="15" t="n">
        <f aca="false">(G42-F42)*100/F42</f>
        <v>-100</v>
      </c>
      <c r="I42" s="15"/>
      <c r="J42" s="15" t="n">
        <v>22.366</v>
      </c>
      <c r="K42" s="15"/>
      <c r="L42" s="15" t="n">
        <f aca="false">(K42-J42)*100/J42</f>
        <v>-100</v>
      </c>
      <c r="M42" s="15" t="n">
        <v>4.10784070817605</v>
      </c>
      <c r="N42" s="15" t="n">
        <v>84</v>
      </c>
      <c r="O42" s="15"/>
      <c r="P42" s="12" t="s">
        <v>19</v>
      </c>
      <c r="Q42" s="12"/>
    </row>
    <row r="43" customFormat="false" ht="13.8" hidden="false" customHeight="false" outlineLevel="0" collapsed="false">
      <c r="A43" s="12" t="n">
        <v>2495</v>
      </c>
      <c r="B43" s="12" t="n">
        <v>1</v>
      </c>
      <c r="C43" s="13" t="s">
        <v>91</v>
      </c>
      <c r="D43" s="14" t="s">
        <v>71</v>
      </c>
      <c r="E43" s="13" t="s">
        <v>84</v>
      </c>
      <c r="F43" s="15" t="n">
        <v>56.2224802016918</v>
      </c>
      <c r="G43" s="15"/>
      <c r="H43" s="15" t="n">
        <f aca="false">(G43-F43)*100/F43</f>
        <v>-100</v>
      </c>
      <c r="I43" s="15"/>
      <c r="J43" s="15" t="n">
        <v>41.28</v>
      </c>
      <c r="K43" s="15"/>
      <c r="L43" s="15" t="n">
        <f aca="false">(K43-J43)*100/J43</f>
        <v>-100</v>
      </c>
      <c r="M43" s="15" t="n">
        <v>14.9424802016918</v>
      </c>
      <c r="N43" s="15" t="n">
        <v>73</v>
      </c>
      <c r="O43" s="15"/>
      <c r="P43" s="12" t="s">
        <v>19</v>
      </c>
      <c r="Q43" s="12"/>
    </row>
    <row r="44" customFormat="false" ht="13.8" hidden="false" customHeight="false" outlineLevel="0" collapsed="false">
      <c r="A44" s="12" t="n">
        <v>2774</v>
      </c>
      <c r="B44" s="12" t="n">
        <v>10</v>
      </c>
      <c r="C44" s="13" t="s">
        <v>92</v>
      </c>
      <c r="D44" s="14" t="s">
        <v>93</v>
      </c>
      <c r="E44" s="13" t="s">
        <v>84</v>
      </c>
      <c r="F44" s="15" t="n">
        <v>35.3269594850203</v>
      </c>
      <c r="G44" s="15"/>
      <c r="H44" s="15" t="n">
        <f aca="false">(G44-F44)*100/F44</f>
        <v>-100</v>
      </c>
      <c r="I44" s="15"/>
      <c r="J44" s="15" t="n">
        <v>31.93</v>
      </c>
      <c r="K44" s="15"/>
      <c r="L44" s="15" t="n">
        <f aca="false">(K44-J44)*100/J44</f>
        <v>-100</v>
      </c>
      <c r="M44" s="15" t="n">
        <v>3.39695948502025</v>
      </c>
      <c r="N44" s="15" t="n">
        <v>90</v>
      </c>
      <c r="O44" s="15"/>
      <c r="P44" s="12" t="s">
        <v>19</v>
      </c>
      <c r="Q44" s="12"/>
    </row>
    <row r="45" customFormat="false" ht="13.8" hidden="false" customHeight="false" outlineLevel="0" collapsed="false">
      <c r="A45" s="12" t="n">
        <v>2785</v>
      </c>
      <c r="B45" s="12" t="n">
        <v>18</v>
      </c>
      <c r="C45" s="13" t="s">
        <v>46</v>
      </c>
      <c r="D45" s="14" t="s">
        <v>93</v>
      </c>
      <c r="E45" s="13" t="s">
        <v>84</v>
      </c>
      <c r="F45" s="15" t="n">
        <v>12.7778364094754</v>
      </c>
      <c r="G45" s="15"/>
      <c r="H45" s="15" t="n">
        <f aca="false">(G45-F45)*100/F45</f>
        <v>-100</v>
      </c>
      <c r="I45" s="15"/>
      <c r="J45" s="15" t="n">
        <v>10.8</v>
      </c>
      <c r="K45" s="15"/>
      <c r="L45" s="15" t="n">
        <f aca="false">(K45-J45)*100/J45</f>
        <v>-100</v>
      </c>
      <c r="M45" s="15" t="n">
        <v>1.97783640947541</v>
      </c>
      <c r="N45" s="15" t="n">
        <v>85</v>
      </c>
      <c r="O45" s="15"/>
      <c r="P45" s="12" t="s">
        <v>19</v>
      </c>
      <c r="Q45" s="12"/>
    </row>
    <row r="46" customFormat="false" ht="13.8" hidden="false" customHeight="false" outlineLevel="0" collapsed="false">
      <c r="A46" s="12" t="n">
        <v>985</v>
      </c>
      <c r="B46" s="12" t="n">
        <v>10</v>
      </c>
      <c r="C46" s="13" t="s">
        <v>94</v>
      </c>
      <c r="D46" s="14" t="s">
        <v>95</v>
      </c>
      <c r="E46" s="13" t="s">
        <v>96</v>
      </c>
      <c r="F46" s="15" t="n">
        <v>29.0739227100021</v>
      </c>
      <c r="G46" s="15"/>
      <c r="H46" s="15" t="n">
        <f aca="false">(G46-F46)*100/F46</f>
        <v>-100</v>
      </c>
      <c r="I46" s="15"/>
      <c r="J46" s="15" t="n">
        <v>23.327</v>
      </c>
      <c r="K46" s="15"/>
      <c r="L46" s="15" t="n">
        <f aca="false">(K46-J46)*100/J46</f>
        <v>-100</v>
      </c>
      <c r="M46" s="15" t="n">
        <v>5.74692271000211</v>
      </c>
      <c r="N46" s="15" t="n">
        <v>80</v>
      </c>
      <c r="O46" s="15"/>
      <c r="P46" s="12" t="s">
        <v>19</v>
      </c>
      <c r="Q46" s="12"/>
    </row>
    <row r="47" customFormat="false" ht="13.8" hidden="false" customHeight="false" outlineLevel="0" collapsed="false">
      <c r="A47" s="12" t="n">
        <v>1663</v>
      </c>
      <c r="B47" s="12" t="n">
        <v>22</v>
      </c>
      <c r="C47" s="13" t="s">
        <v>97</v>
      </c>
      <c r="D47" s="14" t="s">
        <v>98</v>
      </c>
      <c r="E47" s="13" t="s">
        <v>96</v>
      </c>
      <c r="F47" s="15" t="n">
        <v>26.5319403965593</v>
      </c>
      <c r="G47" s="15"/>
      <c r="H47" s="15" t="n">
        <f aca="false">(G47-F47)*100/F47</f>
        <v>-100</v>
      </c>
      <c r="I47" s="15"/>
      <c r="J47" s="15" t="n">
        <v>21.797</v>
      </c>
      <c r="K47" s="15"/>
      <c r="L47" s="15" t="n">
        <f aca="false">(K47-J47)*100/J47</f>
        <v>-100</v>
      </c>
      <c r="M47" s="15" t="n">
        <v>4.73494039655931</v>
      </c>
      <c r="N47" s="15" t="n">
        <v>82</v>
      </c>
      <c r="O47" s="15"/>
      <c r="P47" s="12" t="s">
        <v>19</v>
      </c>
      <c r="Q47" s="12"/>
    </row>
    <row r="48" customFormat="false" ht="13.8" hidden="false" customHeight="false" outlineLevel="0" collapsed="false">
      <c r="A48" s="12" t="n">
        <v>556</v>
      </c>
      <c r="B48" s="12" t="n">
        <v>26</v>
      </c>
      <c r="C48" s="13" t="s">
        <v>99</v>
      </c>
      <c r="D48" s="14" t="s">
        <v>99</v>
      </c>
      <c r="E48" s="13" t="s">
        <v>100</v>
      </c>
      <c r="F48" s="15" t="n">
        <v>58.6438650984036</v>
      </c>
      <c r="G48" s="15"/>
      <c r="H48" s="15" t="n">
        <f aca="false">(G48-F48)*100/F48</f>
        <v>-100</v>
      </c>
      <c r="I48" s="15"/>
      <c r="J48" s="15" t="n">
        <v>51.1615</v>
      </c>
      <c r="K48" s="15"/>
      <c r="L48" s="15" t="n">
        <f aca="false">(K48-J48)*100/J48</f>
        <v>-100</v>
      </c>
      <c r="M48" s="15" t="n">
        <v>7.48236509840362</v>
      </c>
      <c r="N48" s="15" t="n">
        <v>87</v>
      </c>
      <c r="O48" s="15"/>
      <c r="P48" s="12" t="s">
        <v>19</v>
      </c>
      <c r="Q48" s="12"/>
    </row>
    <row r="49" customFormat="false" ht="13.8" hidden="false" customHeight="false" outlineLevel="0" collapsed="false">
      <c r="A49" s="12" t="n">
        <v>593</v>
      </c>
      <c r="B49" s="12" t="n">
        <v>32</v>
      </c>
      <c r="C49" s="13" t="s">
        <v>101</v>
      </c>
      <c r="D49" s="14" t="s">
        <v>99</v>
      </c>
      <c r="E49" s="13" t="s">
        <v>100</v>
      </c>
      <c r="F49" s="15" t="n">
        <v>64.2430280977487</v>
      </c>
      <c r="G49" s="15"/>
      <c r="H49" s="15" t="n">
        <f aca="false">(G49-F49)*100/F49</f>
        <v>-100</v>
      </c>
      <c r="I49" s="15"/>
      <c r="J49" s="15" t="n">
        <v>56.786</v>
      </c>
      <c r="K49" s="15"/>
      <c r="L49" s="15" t="n">
        <f aca="false">(K49-J49)*100/J49</f>
        <v>-100</v>
      </c>
      <c r="M49" s="15" t="n">
        <v>7.45702809774869</v>
      </c>
      <c r="N49" s="15" t="n">
        <v>88</v>
      </c>
      <c r="O49" s="15"/>
      <c r="P49" s="12" t="s">
        <v>19</v>
      </c>
      <c r="Q49" s="12"/>
    </row>
    <row r="50" customFormat="false" ht="13.8" hidden="false" customHeight="false" outlineLevel="0" collapsed="false">
      <c r="A50" s="12" t="n">
        <v>600</v>
      </c>
      <c r="B50" s="12" t="n">
        <v>33</v>
      </c>
      <c r="C50" s="13" t="s">
        <v>102</v>
      </c>
      <c r="D50" s="14" t="s">
        <v>103</v>
      </c>
      <c r="E50" s="13" t="s">
        <v>100</v>
      </c>
      <c r="F50" s="15" t="n">
        <v>7.07262694654114</v>
      </c>
      <c r="G50" s="15"/>
      <c r="H50" s="15" t="n">
        <f aca="false">(G50-F50)*100/F50</f>
        <v>-100</v>
      </c>
      <c r="I50" s="15"/>
      <c r="J50" s="15" t="n">
        <v>5.587</v>
      </c>
      <c r="K50" s="15"/>
      <c r="L50" s="15" t="n">
        <f aca="false">(K50-J50)*100/J50</f>
        <v>-100</v>
      </c>
      <c r="M50" s="15" t="n">
        <v>1.48562694654114</v>
      </c>
      <c r="N50" s="15" t="n">
        <v>79</v>
      </c>
      <c r="O50" s="15"/>
      <c r="P50" s="12" t="s">
        <v>19</v>
      </c>
      <c r="Q50" s="12"/>
    </row>
    <row r="51" customFormat="false" ht="13.8" hidden="false" customHeight="false" outlineLevel="0" collapsed="false">
      <c r="A51" s="12" t="n">
        <v>627</v>
      </c>
      <c r="B51" s="12" t="n">
        <v>16</v>
      </c>
      <c r="C51" s="13" t="s">
        <v>104</v>
      </c>
      <c r="D51" s="14" t="s">
        <v>103</v>
      </c>
      <c r="E51" s="13" t="s">
        <v>100</v>
      </c>
      <c r="F51" s="15" t="n">
        <v>9.626631121681</v>
      </c>
      <c r="G51" s="15"/>
      <c r="H51" s="15" t="n">
        <f aca="false">(G51-F51)*100/F51</f>
        <v>-100</v>
      </c>
      <c r="I51" s="15"/>
      <c r="J51" s="15" t="n">
        <v>7.7985</v>
      </c>
      <c r="K51" s="15"/>
      <c r="L51" s="15" t="n">
        <f aca="false">(K51-J51)*100/J51</f>
        <v>-100</v>
      </c>
      <c r="M51" s="15" t="n">
        <v>1.828131121681</v>
      </c>
      <c r="N51" s="15" t="n">
        <v>81</v>
      </c>
      <c r="O51" s="15"/>
      <c r="P51" s="12" t="s">
        <v>19</v>
      </c>
      <c r="Q51" s="12"/>
    </row>
    <row r="52" customFormat="false" ht="35.05" hidden="false" customHeight="false" outlineLevel="0" collapsed="false">
      <c r="A52" s="12" t="n">
        <v>820</v>
      </c>
      <c r="B52" s="18" t="s">
        <v>105</v>
      </c>
      <c r="C52" s="16" t="s">
        <v>106</v>
      </c>
      <c r="D52" s="14" t="s">
        <v>107</v>
      </c>
      <c r="E52" s="13" t="s">
        <v>100</v>
      </c>
      <c r="F52" s="15" t="n">
        <v>165.813809524465</v>
      </c>
      <c r="G52" s="15"/>
      <c r="H52" s="15" t="n">
        <f aca="false">(G52-F52)*100/F52</f>
        <v>-100</v>
      </c>
      <c r="I52" s="15"/>
      <c r="J52" s="15" t="n">
        <v>122.504</v>
      </c>
      <c r="K52" s="15"/>
      <c r="L52" s="15" t="n">
        <f aca="false">(K52-J52)*100/J52</f>
        <v>-100</v>
      </c>
      <c r="M52" s="15" t="n">
        <v>43.3098095244645</v>
      </c>
      <c r="N52" s="15" t="n">
        <v>74</v>
      </c>
      <c r="O52" s="15"/>
      <c r="P52" s="12" t="s">
        <v>19</v>
      </c>
      <c r="Q52" s="12"/>
    </row>
    <row r="53" customFormat="false" ht="13.8" hidden="false" customHeight="false" outlineLevel="0" collapsed="false">
      <c r="A53" s="12" t="n">
        <v>827</v>
      </c>
      <c r="B53" s="12" t="n">
        <v>19</v>
      </c>
      <c r="C53" s="13" t="s">
        <v>108</v>
      </c>
      <c r="D53" s="14" t="s">
        <v>107</v>
      </c>
      <c r="E53" s="13" t="s">
        <v>100</v>
      </c>
      <c r="F53" s="15" t="n">
        <v>51.6694690816756</v>
      </c>
      <c r="G53" s="15"/>
      <c r="H53" s="15" t="n">
        <f aca="false">(G53-F53)*100/F53</f>
        <v>-100</v>
      </c>
      <c r="I53" s="15"/>
      <c r="J53" s="15" t="n">
        <v>39.661</v>
      </c>
      <c r="K53" s="15"/>
      <c r="L53" s="15" t="n">
        <f aca="false">(K53-J53)*100/J53</f>
        <v>-100</v>
      </c>
      <c r="M53" s="15" t="n">
        <v>12.0084690816756</v>
      </c>
      <c r="N53" s="15" t="n">
        <v>77</v>
      </c>
      <c r="O53" s="15"/>
      <c r="P53" s="12" t="s">
        <v>19</v>
      </c>
      <c r="Q53" s="12"/>
    </row>
    <row r="54" customFormat="false" ht="13.8" hidden="false" customHeight="false" outlineLevel="0" collapsed="false">
      <c r="A54" s="12" t="n">
        <v>833</v>
      </c>
      <c r="B54" s="12" t="n">
        <v>31</v>
      </c>
      <c r="C54" s="13" t="s">
        <v>109</v>
      </c>
      <c r="D54" s="14" t="s">
        <v>107</v>
      </c>
      <c r="E54" s="13" t="s">
        <v>100</v>
      </c>
      <c r="F54" s="15" t="n">
        <v>41.8463761003684</v>
      </c>
      <c r="G54" s="15"/>
      <c r="H54" s="15" t="n">
        <f aca="false">(G54-F54)*100/F54</f>
        <v>-100</v>
      </c>
      <c r="I54" s="15"/>
      <c r="J54" s="15" t="n">
        <v>31.82</v>
      </c>
      <c r="K54" s="15"/>
      <c r="L54" s="15" t="n">
        <f aca="false">(K54-J54)*100/J54</f>
        <v>-100</v>
      </c>
      <c r="M54" s="15" t="n">
        <v>10.0263761003684</v>
      </c>
      <c r="N54" s="15" t="n">
        <v>76</v>
      </c>
      <c r="O54" s="15"/>
      <c r="P54" s="12" t="s">
        <v>19</v>
      </c>
      <c r="Q54" s="12"/>
    </row>
    <row r="55" customFormat="false" ht="13.8" hidden="false" customHeight="false" outlineLevel="0" collapsed="false">
      <c r="A55" s="12" t="n">
        <v>1478</v>
      </c>
      <c r="B55" s="12" t="n">
        <v>170</v>
      </c>
      <c r="C55" s="13" t="s">
        <v>110</v>
      </c>
      <c r="D55" s="14" t="s">
        <v>111</v>
      </c>
      <c r="E55" s="13" t="s">
        <v>100</v>
      </c>
      <c r="F55" s="15" t="n">
        <v>0.994240180294245</v>
      </c>
      <c r="G55" s="15"/>
      <c r="H55" s="15" t="n">
        <f aca="false">(G55-F55)*100/F55</f>
        <v>-100</v>
      </c>
      <c r="I55" s="15"/>
      <c r="J55" s="15" t="n">
        <v>0.72</v>
      </c>
      <c r="K55" s="15"/>
      <c r="L55" s="15" t="n">
        <f aca="false">(K55-J55)*100/J55</f>
        <v>-100</v>
      </c>
      <c r="M55" s="15" t="n">
        <v>0.274240180294245</v>
      </c>
      <c r="N55" s="15" t="n">
        <v>72</v>
      </c>
      <c r="O55" s="15"/>
      <c r="P55" s="12" t="s">
        <v>19</v>
      </c>
      <c r="Q55" s="12"/>
    </row>
    <row r="56" customFormat="false" ht="13.8" hidden="false" customHeight="false" outlineLevel="0" collapsed="false">
      <c r="A56" s="12" t="n">
        <v>857</v>
      </c>
      <c r="B56" s="12" t="n">
        <v>1</v>
      </c>
      <c r="C56" s="13" t="s">
        <v>112</v>
      </c>
      <c r="D56" s="14" t="s">
        <v>25</v>
      </c>
      <c r="E56" s="13" t="s">
        <v>113</v>
      </c>
      <c r="F56" s="15" t="n">
        <v>3.94395696340004</v>
      </c>
      <c r="G56" s="15"/>
      <c r="H56" s="15" t="n">
        <f aca="false">(G56-F56)*100/F56</f>
        <v>-100</v>
      </c>
      <c r="I56" s="15"/>
      <c r="J56" s="15" t="n">
        <v>2.95348</v>
      </c>
      <c r="K56" s="15"/>
      <c r="L56" s="15" t="n">
        <f aca="false">(K56-J56)*100/J56</f>
        <v>-100</v>
      </c>
      <c r="M56" s="15" t="n">
        <v>0.990476963400043</v>
      </c>
      <c r="N56" s="15" t="n">
        <v>75</v>
      </c>
      <c r="O56" s="15"/>
      <c r="P56" s="12" t="s">
        <v>19</v>
      </c>
      <c r="Q56" s="12"/>
    </row>
    <row r="57" customFormat="false" ht="13.8" hidden="false" customHeight="false" outlineLevel="0" collapsed="false">
      <c r="A57" s="12" t="n">
        <v>856</v>
      </c>
      <c r="B57" s="12" t="n">
        <v>9</v>
      </c>
      <c r="C57" s="13" t="s">
        <v>114</v>
      </c>
      <c r="D57" s="14" t="s">
        <v>25</v>
      </c>
      <c r="E57" s="13" t="s">
        <v>115</v>
      </c>
      <c r="F57" s="15" t="n">
        <v>6.14642058906854</v>
      </c>
      <c r="G57" s="15"/>
      <c r="H57" s="15" t="n">
        <f aca="false">(G57-F57)*100/F57</f>
        <v>-100</v>
      </c>
      <c r="I57" s="15"/>
      <c r="J57" s="15" t="n">
        <v>5.012</v>
      </c>
      <c r="K57" s="15"/>
      <c r="L57" s="15" t="n">
        <f aca="false">(K57-J57)*100/J57</f>
        <v>-100</v>
      </c>
      <c r="M57" s="15" t="n">
        <v>1.13442058906854</v>
      </c>
      <c r="N57" s="15" t="n">
        <v>82</v>
      </c>
      <c r="O57" s="15"/>
      <c r="P57" s="12" t="s">
        <v>19</v>
      </c>
      <c r="Q57" s="12"/>
    </row>
    <row r="58" customFormat="false" ht="13.8" hidden="false" customHeight="false" outlineLevel="0" collapsed="false">
      <c r="A58" s="12" t="n">
        <v>859</v>
      </c>
      <c r="B58" s="12" t="n">
        <v>29</v>
      </c>
      <c r="C58" s="13" t="s">
        <v>116</v>
      </c>
      <c r="D58" s="14" t="s">
        <v>25</v>
      </c>
      <c r="E58" s="13" t="s">
        <v>115</v>
      </c>
      <c r="F58" s="15" t="n">
        <v>2.0897830002833</v>
      </c>
      <c r="G58" s="15"/>
      <c r="H58" s="15" t="n">
        <f aca="false">(G58-F58)*100/F58</f>
        <v>-100</v>
      </c>
      <c r="I58" s="15"/>
      <c r="J58" s="15" t="n">
        <v>1.846472</v>
      </c>
      <c r="K58" s="15"/>
      <c r="L58" s="15" t="n">
        <f aca="false">(K58-J58)*100/J58</f>
        <v>-100</v>
      </c>
      <c r="M58" s="15" t="n">
        <v>0.243311000283304</v>
      </c>
      <c r="N58" s="15" t="n">
        <v>88</v>
      </c>
      <c r="O58" s="15"/>
      <c r="P58" s="12" t="s">
        <v>19</v>
      </c>
      <c r="Q58" s="12"/>
    </row>
    <row r="59" customFormat="false" ht="13.8" hidden="false" customHeight="false" outlineLevel="0" collapsed="false">
      <c r="A59" s="12" t="n">
        <v>862</v>
      </c>
      <c r="B59" s="12" t="n">
        <v>42</v>
      </c>
      <c r="C59" s="13" t="s">
        <v>117</v>
      </c>
      <c r="D59" s="14" t="s">
        <v>25</v>
      </c>
      <c r="E59" s="13" t="s">
        <v>115</v>
      </c>
      <c r="F59" s="15" t="n">
        <v>38.2307360640063</v>
      </c>
      <c r="G59" s="15"/>
      <c r="H59" s="15" t="n">
        <f aca="false">(G59-F59)*100/F59</f>
        <v>-100</v>
      </c>
      <c r="I59" s="15"/>
      <c r="J59" s="15" t="n">
        <v>27.708089</v>
      </c>
      <c r="K59" s="15"/>
      <c r="L59" s="15" t="n">
        <f aca="false">(K59-J59)*100/J59</f>
        <v>-100</v>
      </c>
      <c r="M59" s="15" t="n">
        <v>10.5226470640063</v>
      </c>
      <c r="N59" s="15" t="n">
        <v>72</v>
      </c>
      <c r="O59" s="15"/>
      <c r="P59" s="12" t="s">
        <v>19</v>
      </c>
      <c r="Q59" s="12"/>
    </row>
    <row r="60" customFormat="false" ht="13.8" hidden="false" customHeight="false" outlineLevel="0" collapsed="false">
      <c r="A60" s="12" t="n">
        <v>863</v>
      </c>
      <c r="B60" s="12" t="n">
        <v>8</v>
      </c>
      <c r="C60" s="13" t="s">
        <v>118</v>
      </c>
      <c r="D60" s="14" t="s">
        <v>25</v>
      </c>
      <c r="E60" s="13" t="s">
        <v>115</v>
      </c>
      <c r="F60" s="15" t="n">
        <v>6.02349217728717</v>
      </c>
      <c r="G60" s="15"/>
      <c r="H60" s="15" t="n">
        <f aca="false">(G60-F60)*100/F60</f>
        <v>-100</v>
      </c>
      <c r="I60" s="15"/>
      <c r="J60" s="15" t="n">
        <v>5.2</v>
      </c>
      <c r="K60" s="15"/>
      <c r="L60" s="15" t="n">
        <f aca="false">(K60-J60)*100/J60</f>
        <v>-100</v>
      </c>
      <c r="M60" s="15" t="n">
        <v>0.823492177287172</v>
      </c>
      <c r="N60" s="15" t="n">
        <v>86</v>
      </c>
      <c r="O60" s="15"/>
      <c r="P60" s="12" t="s">
        <v>19</v>
      </c>
      <c r="Q60" s="12"/>
    </row>
    <row r="61" customFormat="false" ht="13.8" hidden="false" customHeight="false" outlineLevel="0" collapsed="false">
      <c r="A61" s="12" t="n">
        <v>869</v>
      </c>
      <c r="B61" s="12" t="n">
        <v>43</v>
      </c>
      <c r="C61" s="13" t="s">
        <v>119</v>
      </c>
      <c r="D61" s="14" t="s">
        <v>25</v>
      </c>
      <c r="E61" s="13" t="s">
        <v>115</v>
      </c>
      <c r="F61" s="15" t="n">
        <v>14.3826241784204</v>
      </c>
      <c r="G61" s="15"/>
      <c r="H61" s="15" t="n">
        <f aca="false">(G61-F61)*100/F61</f>
        <v>-100</v>
      </c>
      <c r="I61" s="15"/>
      <c r="J61" s="15" t="n">
        <v>12.127382</v>
      </c>
      <c r="K61" s="15"/>
      <c r="L61" s="15" t="n">
        <f aca="false">(K61-J61)*100/J61</f>
        <v>-100</v>
      </c>
      <c r="M61" s="15" t="n">
        <v>2.25524217842039</v>
      </c>
      <c r="N61" s="15" t="n">
        <v>84</v>
      </c>
      <c r="O61" s="15"/>
      <c r="P61" s="12" t="s">
        <v>19</v>
      </c>
      <c r="Q61" s="12"/>
    </row>
    <row r="62" customFormat="false" ht="13.8" hidden="false" customHeight="false" outlineLevel="0" collapsed="false">
      <c r="A62" s="12" t="n">
        <v>1661</v>
      </c>
      <c r="B62" s="12" t="n">
        <v>22</v>
      </c>
      <c r="C62" s="13" t="s">
        <v>120</v>
      </c>
      <c r="D62" s="14" t="s">
        <v>98</v>
      </c>
      <c r="E62" s="13" t="s">
        <v>121</v>
      </c>
      <c r="F62" s="15" t="n">
        <v>12.0841759658658</v>
      </c>
      <c r="G62" s="15"/>
      <c r="H62" s="15" t="n">
        <f aca="false">(G62-F62)*100/F62</f>
        <v>-100</v>
      </c>
      <c r="I62" s="15"/>
      <c r="J62" s="15" t="n">
        <v>10.6525</v>
      </c>
      <c r="K62" s="15"/>
      <c r="L62" s="15" t="n">
        <f aca="false">(K62-J62)*100/J62</f>
        <v>-100</v>
      </c>
      <c r="M62" s="15" t="n">
        <v>1.43167596586581</v>
      </c>
      <c r="N62" s="15" t="n">
        <v>88</v>
      </c>
      <c r="O62" s="15"/>
      <c r="P62" s="12" t="s">
        <v>19</v>
      </c>
      <c r="Q62" s="12"/>
    </row>
    <row r="63" customFormat="false" ht="13.8" hidden="false" customHeight="false" outlineLevel="0" collapsed="false">
      <c r="A63" s="12" t="n">
        <v>1681</v>
      </c>
      <c r="B63" s="12" t="n">
        <v>2</v>
      </c>
      <c r="C63" s="13" t="s">
        <v>122</v>
      </c>
      <c r="D63" s="14" t="s">
        <v>123</v>
      </c>
      <c r="E63" s="13" t="s">
        <v>124</v>
      </c>
      <c r="F63" s="15" t="n">
        <v>27.8788719099173</v>
      </c>
      <c r="G63" s="15"/>
      <c r="H63" s="15" t="n">
        <f aca="false">(G63-F63)*100/F63</f>
        <v>-100</v>
      </c>
      <c r="I63" s="15"/>
      <c r="J63" s="15" t="n">
        <v>23.7294432</v>
      </c>
      <c r="K63" s="15"/>
      <c r="L63" s="15" t="n">
        <f aca="false">(K63-J63)*100/J63</f>
        <v>-100</v>
      </c>
      <c r="M63" s="15" t="n">
        <v>4.14942870991728</v>
      </c>
      <c r="N63" s="15" t="n">
        <v>85</v>
      </c>
      <c r="O63" s="15"/>
      <c r="P63" s="12" t="s">
        <v>19</v>
      </c>
      <c r="Q63" s="12"/>
    </row>
    <row r="64" customFormat="false" ht="13.8" hidden="false" customHeight="false" outlineLevel="0" collapsed="false">
      <c r="A64" s="12" t="n">
        <v>1698</v>
      </c>
      <c r="B64" s="12" t="n">
        <v>8</v>
      </c>
      <c r="C64" s="13" t="s">
        <v>125</v>
      </c>
      <c r="D64" s="14" t="s">
        <v>123</v>
      </c>
      <c r="E64" s="13" t="s">
        <v>124</v>
      </c>
      <c r="F64" s="15" t="n">
        <v>36.8088230685626</v>
      </c>
      <c r="G64" s="15"/>
      <c r="H64" s="15" t="n">
        <f aca="false">(G64-F64)*100/F64</f>
        <v>-100</v>
      </c>
      <c r="I64" s="15"/>
      <c r="J64" s="15" t="n">
        <v>26.967168</v>
      </c>
      <c r="K64" s="15"/>
      <c r="L64" s="15" t="n">
        <f aca="false">(K64-J64)*100/J64</f>
        <v>-100</v>
      </c>
      <c r="M64" s="15" t="n">
        <v>9.84165506856265</v>
      </c>
      <c r="N64" s="15" t="n">
        <v>73</v>
      </c>
      <c r="O64" s="15"/>
      <c r="P64" s="12" t="s">
        <v>19</v>
      </c>
      <c r="Q64" s="12"/>
    </row>
    <row r="65" customFormat="false" ht="13.8" hidden="false" customHeight="false" outlineLevel="0" collapsed="false">
      <c r="A65" s="12" t="n">
        <v>976</v>
      </c>
      <c r="B65" s="12" t="n">
        <v>1</v>
      </c>
      <c r="C65" s="13" t="s">
        <v>126</v>
      </c>
      <c r="D65" s="14" t="s">
        <v>95</v>
      </c>
      <c r="E65" s="13" t="s">
        <v>127</v>
      </c>
      <c r="F65" s="15" t="n">
        <v>117.884512330521</v>
      </c>
      <c r="G65" s="15"/>
      <c r="H65" s="15" t="n">
        <f aca="false">(G65-F65)*100/F65</f>
        <v>-100</v>
      </c>
      <c r="I65" s="15"/>
      <c r="J65" s="15" t="n">
        <v>91.638</v>
      </c>
      <c r="K65" s="15"/>
      <c r="L65" s="15" t="n">
        <f aca="false">(K65-J65)*100/J65</f>
        <v>-100</v>
      </c>
      <c r="M65" s="15" t="n">
        <v>26.2465123305209</v>
      </c>
      <c r="N65" s="15" t="n">
        <v>78</v>
      </c>
      <c r="O65" s="15"/>
      <c r="P65" s="12" t="s">
        <v>19</v>
      </c>
      <c r="Q65" s="12"/>
    </row>
    <row r="66" customFormat="false" ht="13.8" hidden="false" customHeight="false" outlineLevel="0" collapsed="false">
      <c r="A66" s="12" t="n">
        <v>1686</v>
      </c>
      <c r="B66" s="12" t="n">
        <v>14</v>
      </c>
      <c r="C66" s="13" t="s">
        <v>128</v>
      </c>
      <c r="D66" s="14" t="s">
        <v>123</v>
      </c>
      <c r="E66" s="13" t="s">
        <v>127</v>
      </c>
      <c r="F66" s="15" t="n">
        <v>37.3957393252675</v>
      </c>
      <c r="G66" s="15"/>
      <c r="H66" s="15" t="n">
        <f aca="false">(G66-F66)*100/F66</f>
        <v>-100</v>
      </c>
      <c r="I66" s="15"/>
      <c r="J66" s="15" t="n">
        <v>28.99</v>
      </c>
      <c r="K66" s="15"/>
      <c r="L66" s="15" t="n">
        <f aca="false">(K66-J66)*100/J66</f>
        <v>-100</v>
      </c>
      <c r="M66" s="15" t="n">
        <v>8.40573932526745</v>
      </c>
      <c r="N66" s="15" t="n">
        <v>78</v>
      </c>
      <c r="O66" s="15"/>
      <c r="P66" s="12" t="s">
        <v>19</v>
      </c>
      <c r="Q66" s="12"/>
    </row>
    <row r="67" customFormat="false" ht="13.8" hidden="false" customHeight="false" outlineLevel="0" collapsed="false">
      <c r="A67" s="12" t="n">
        <v>2862</v>
      </c>
      <c r="B67" s="12" t="n">
        <v>11</v>
      </c>
      <c r="C67" s="13" t="s">
        <v>129</v>
      </c>
      <c r="D67" s="14" t="s">
        <v>130</v>
      </c>
      <c r="E67" s="13" t="s">
        <v>127</v>
      </c>
      <c r="F67" s="15" t="n">
        <v>88.529870920154</v>
      </c>
      <c r="G67" s="15"/>
      <c r="H67" s="15" t="n">
        <f aca="false">(G67-F67)*100/F67</f>
        <v>-100</v>
      </c>
      <c r="I67" s="15"/>
      <c r="J67" s="15" t="n">
        <v>76.866</v>
      </c>
      <c r="K67" s="15"/>
      <c r="L67" s="15" t="n">
        <f aca="false">(K67-J67)*100/J67</f>
        <v>-100</v>
      </c>
      <c r="M67" s="15" t="n">
        <v>11.663870920154</v>
      </c>
      <c r="N67" s="15" t="n">
        <v>87</v>
      </c>
      <c r="O67" s="15"/>
      <c r="P67" s="12" t="s">
        <v>19</v>
      </c>
      <c r="Q67" s="12"/>
    </row>
    <row r="68" customFormat="false" ht="13.8" hidden="false" customHeight="false" outlineLevel="0" collapsed="false">
      <c r="A68" s="12" t="n">
        <v>2867</v>
      </c>
      <c r="B68" s="12" t="n">
        <v>5</v>
      </c>
      <c r="C68" s="13" t="s">
        <v>131</v>
      </c>
      <c r="D68" s="14" t="s">
        <v>130</v>
      </c>
      <c r="E68" s="13" t="s">
        <v>127</v>
      </c>
      <c r="F68" s="15" t="n">
        <v>89.6397869120382</v>
      </c>
      <c r="G68" s="15"/>
      <c r="H68" s="15" t="n">
        <f aca="false">(G68-F68)*100/F68</f>
        <v>-100</v>
      </c>
      <c r="I68" s="15"/>
      <c r="J68" s="15" t="n">
        <v>65.29</v>
      </c>
      <c r="K68" s="15"/>
      <c r="L68" s="15" t="n">
        <f aca="false">(K68-J68)*100/J68</f>
        <v>-100</v>
      </c>
      <c r="M68" s="15" t="n">
        <v>24.3497869120382</v>
      </c>
      <c r="N68" s="15" t="n">
        <v>73</v>
      </c>
      <c r="O68" s="15"/>
      <c r="P68" s="12" t="s">
        <v>19</v>
      </c>
      <c r="Q68" s="12"/>
    </row>
    <row r="69" customFormat="false" ht="13.8" hidden="false" customHeight="false" outlineLevel="0" collapsed="false">
      <c r="A69" s="12" t="n">
        <v>1855</v>
      </c>
      <c r="B69" s="12" t="n">
        <v>11</v>
      </c>
      <c r="C69" s="13" t="s">
        <v>132</v>
      </c>
      <c r="D69" s="14" t="s">
        <v>132</v>
      </c>
      <c r="E69" s="13" t="s">
        <v>133</v>
      </c>
      <c r="F69" s="15" t="n">
        <v>50.4783199288181</v>
      </c>
      <c r="G69" s="15"/>
      <c r="H69" s="15" t="n">
        <f aca="false">(G69-F69)*100/F69</f>
        <v>-100</v>
      </c>
      <c r="I69" s="15"/>
      <c r="J69" s="15" t="n">
        <v>39.896</v>
      </c>
      <c r="K69" s="15"/>
      <c r="L69" s="15" t="n">
        <f aca="false">(K69-J69)*100/J69</f>
        <v>-100</v>
      </c>
      <c r="M69" s="15" t="n">
        <v>10.5823199288182</v>
      </c>
      <c r="N69" s="15" t="n">
        <v>79</v>
      </c>
      <c r="O69" s="15"/>
      <c r="P69" s="12" t="s">
        <v>19</v>
      </c>
      <c r="Q69" s="12"/>
    </row>
    <row r="70" customFormat="false" ht="13.8" hidden="false" customHeight="false" outlineLevel="0" collapsed="false">
      <c r="A70" s="12" t="n">
        <v>2849</v>
      </c>
      <c r="B70" s="12" t="n">
        <v>18</v>
      </c>
      <c r="C70" s="13" t="s">
        <v>134</v>
      </c>
      <c r="D70" s="14" t="s">
        <v>135</v>
      </c>
      <c r="E70" s="13" t="s">
        <v>136</v>
      </c>
      <c r="F70" s="15" t="n">
        <v>11.3677436492881</v>
      </c>
      <c r="G70" s="15"/>
      <c r="H70" s="15" t="n">
        <f aca="false">(G70-F70)*100/F70</f>
        <v>-100</v>
      </c>
      <c r="I70" s="15"/>
      <c r="J70" s="15" t="n">
        <v>8.5265</v>
      </c>
      <c r="K70" s="15"/>
      <c r="L70" s="15" t="n">
        <f aca="false">(K70-J70)*100/J70</f>
        <v>-100</v>
      </c>
      <c r="M70" s="15" t="n">
        <v>2.84124364928807</v>
      </c>
      <c r="N70" s="15" t="n">
        <v>75</v>
      </c>
      <c r="O70" s="15"/>
      <c r="P70" s="12" t="s">
        <v>19</v>
      </c>
      <c r="Q70" s="12"/>
    </row>
    <row r="71" customFormat="false" ht="13.8" hidden="false" customHeight="false" outlineLevel="0" collapsed="false">
      <c r="A71" s="12" t="n">
        <v>2506</v>
      </c>
      <c r="B71" s="12" t="n">
        <v>5</v>
      </c>
      <c r="C71" s="13" t="s">
        <v>137</v>
      </c>
      <c r="D71" s="14" t="s">
        <v>138</v>
      </c>
      <c r="E71" s="13" t="s">
        <v>139</v>
      </c>
      <c r="F71" s="15" t="n">
        <v>78.4217759119832</v>
      </c>
      <c r="G71" s="15"/>
      <c r="H71" s="15" t="n">
        <f aca="false">(G71-F71)*100/F71</f>
        <v>-100</v>
      </c>
      <c r="I71" s="15"/>
      <c r="J71" s="15" t="n">
        <v>66.294288</v>
      </c>
      <c r="K71" s="15"/>
      <c r="L71" s="15" t="n">
        <f aca="false">(K71-J71)*100/J71</f>
        <v>-100</v>
      </c>
      <c r="M71" s="15" t="n">
        <v>12.1274879119832</v>
      </c>
      <c r="N71" s="15" t="n">
        <v>85</v>
      </c>
      <c r="O71" s="15"/>
      <c r="P71" s="12" t="s">
        <v>19</v>
      </c>
      <c r="Q71" s="12"/>
    </row>
    <row r="72" customFormat="false" ht="13.8" hidden="false" customHeight="false" outlineLevel="0" collapsed="false">
      <c r="A72" s="12" t="n">
        <v>2518</v>
      </c>
      <c r="B72" s="12" t="n">
        <v>7</v>
      </c>
      <c r="C72" s="13" t="s">
        <v>140</v>
      </c>
      <c r="D72" s="14" t="s">
        <v>138</v>
      </c>
      <c r="E72" s="13" t="s">
        <v>141</v>
      </c>
      <c r="F72" s="15" t="n">
        <v>275.485490606126</v>
      </c>
      <c r="G72" s="15"/>
      <c r="H72" s="15" t="n">
        <f aca="false">(G72-F72)*100/F72</f>
        <v>-100</v>
      </c>
      <c r="I72" s="15"/>
      <c r="J72" s="15" t="n">
        <v>200.304</v>
      </c>
      <c r="K72" s="15"/>
      <c r="L72" s="15" t="n">
        <f aca="false">(K72-J72)*100/J72</f>
        <v>-100</v>
      </c>
      <c r="M72" s="15" t="n">
        <v>75.1814906061263</v>
      </c>
      <c r="N72" s="15" t="n">
        <v>73</v>
      </c>
      <c r="O72" s="15"/>
      <c r="P72" s="12" t="s">
        <v>19</v>
      </c>
      <c r="Q72" s="12"/>
    </row>
    <row r="73" customFormat="false" ht="13.8" hidden="false" customHeight="false" outlineLevel="0" collapsed="false">
      <c r="A73" s="12" t="n">
        <v>2274</v>
      </c>
      <c r="B73" s="12" t="n">
        <v>15</v>
      </c>
      <c r="C73" s="13" t="s">
        <v>142</v>
      </c>
      <c r="D73" s="14" t="s">
        <v>143</v>
      </c>
      <c r="E73" s="13" t="s">
        <v>144</v>
      </c>
      <c r="F73" s="15" t="n">
        <v>12.4620191000947</v>
      </c>
      <c r="G73" s="15"/>
      <c r="H73" s="15" t="n">
        <f aca="false">(G73-F73)*100/F73</f>
        <v>-100</v>
      </c>
      <c r="I73" s="15"/>
      <c r="J73" s="15" t="n">
        <v>10.89704</v>
      </c>
      <c r="K73" s="15"/>
      <c r="L73" s="15" t="n">
        <f aca="false">(K73-J73)*100/J73</f>
        <v>-100</v>
      </c>
      <c r="M73" s="15" t="n">
        <v>1.56497910009471</v>
      </c>
      <c r="N73" s="15" t="n">
        <v>87</v>
      </c>
      <c r="O73" s="15"/>
      <c r="P73" s="12" t="s">
        <v>19</v>
      </c>
      <c r="Q73" s="12"/>
    </row>
    <row r="74" customFormat="false" ht="13.8" hidden="false" customHeight="false" outlineLevel="0" collapsed="false">
      <c r="A74" s="12" t="n">
        <v>549</v>
      </c>
      <c r="B74" s="12" t="n">
        <v>6</v>
      </c>
      <c r="C74" s="13" t="s">
        <v>145</v>
      </c>
      <c r="D74" s="14" t="s">
        <v>43</v>
      </c>
      <c r="E74" s="13" t="s">
        <v>39</v>
      </c>
      <c r="F74" s="15" t="n">
        <v>40.0045846295645</v>
      </c>
      <c r="G74" s="15"/>
      <c r="H74" s="15" t="n">
        <f aca="false">(G74-F74)*100/F74</f>
        <v>-100</v>
      </c>
      <c r="I74" s="15"/>
      <c r="J74" s="15" t="n">
        <v>37.854</v>
      </c>
      <c r="K74" s="15"/>
      <c r="L74" s="15" t="n">
        <f aca="false">(K74-J74)*100/J74</f>
        <v>-100</v>
      </c>
      <c r="M74" s="15" t="n">
        <v>2.15058462956455</v>
      </c>
      <c r="N74" s="15" t="n">
        <v>95</v>
      </c>
      <c r="O74" s="15"/>
      <c r="P74" s="12" t="s">
        <v>146</v>
      </c>
      <c r="Q74" s="12"/>
    </row>
    <row r="75" customFormat="false" ht="13.8" hidden="false" customHeight="false" outlineLevel="0" collapsed="false">
      <c r="A75" s="12" t="n">
        <v>1360</v>
      </c>
      <c r="B75" s="12" t="n">
        <v>0</v>
      </c>
      <c r="C75" s="13" t="s">
        <v>147</v>
      </c>
      <c r="D75" s="14" t="s">
        <v>49</v>
      </c>
      <c r="E75" s="13" t="s">
        <v>54</v>
      </c>
      <c r="F75" s="15" t="n">
        <v>3.92572738759596</v>
      </c>
      <c r="G75" s="15"/>
      <c r="H75" s="15" t="n">
        <f aca="false">(G75-F75)*100/F75</f>
        <v>-100</v>
      </c>
      <c r="I75" s="15"/>
      <c r="J75" s="15" t="n">
        <v>3.672</v>
      </c>
      <c r="K75" s="15"/>
      <c r="L75" s="15" t="n">
        <f aca="false">(K75-J75)*100/J75</f>
        <v>-100</v>
      </c>
      <c r="M75" s="15" t="n">
        <v>0.253727387595963</v>
      </c>
      <c r="N75" s="15" t="n">
        <v>94</v>
      </c>
      <c r="O75" s="15"/>
      <c r="P75" s="12" t="s">
        <v>146</v>
      </c>
      <c r="Q75" s="12"/>
    </row>
    <row r="76" customFormat="false" ht="13.8" hidden="false" customHeight="false" outlineLevel="0" collapsed="false">
      <c r="A76" s="12" t="n">
        <v>1364</v>
      </c>
      <c r="B76" s="12" t="n">
        <v>0</v>
      </c>
      <c r="C76" s="13" t="s">
        <v>148</v>
      </c>
      <c r="D76" s="14" t="s">
        <v>49</v>
      </c>
      <c r="E76" s="13" t="s">
        <v>54</v>
      </c>
      <c r="F76" s="15" t="n">
        <v>3.73878798818663</v>
      </c>
      <c r="G76" s="15"/>
      <c r="H76" s="15" t="n">
        <f aca="false">(G76-F76)*100/F76</f>
        <v>-100</v>
      </c>
      <c r="I76" s="15"/>
      <c r="J76" s="15" t="n">
        <v>3.384</v>
      </c>
      <c r="K76" s="15"/>
      <c r="L76" s="15" t="n">
        <f aca="false">(K76-J76)*100/J76</f>
        <v>-100</v>
      </c>
      <c r="M76" s="15" t="n">
        <v>0.354787988186632</v>
      </c>
      <c r="N76" s="15" t="n">
        <v>91</v>
      </c>
      <c r="O76" s="15"/>
      <c r="P76" s="12" t="s">
        <v>146</v>
      </c>
      <c r="Q76" s="12"/>
    </row>
    <row r="77" customFormat="false" ht="13.8" hidden="false" customHeight="false" outlineLevel="0" collapsed="false">
      <c r="A77" s="12" t="n">
        <v>1365</v>
      </c>
      <c r="B77" s="12" t="n">
        <v>0</v>
      </c>
      <c r="C77" s="13" t="s">
        <v>149</v>
      </c>
      <c r="D77" s="14" t="s">
        <v>49</v>
      </c>
      <c r="E77" s="13" t="s">
        <v>54</v>
      </c>
      <c r="F77" s="15" t="n">
        <v>3.36490918936797</v>
      </c>
      <c r="G77" s="15"/>
      <c r="H77" s="15" t="n">
        <f aca="false">(G77-F77)*100/F77</f>
        <v>-100</v>
      </c>
      <c r="I77" s="15"/>
      <c r="J77" s="15" t="n">
        <v>3.24</v>
      </c>
      <c r="K77" s="15"/>
      <c r="L77" s="15" t="n">
        <f aca="false">(K77-J77)*100/J77</f>
        <v>-100</v>
      </c>
      <c r="M77" s="15" t="n">
        <v>0.124909189367969</v>
      </c>
      <c r="N77" s="15" t="n">
        <v>96</v>
      </c>
      <c r="O77" s="15"/>
      <c r="P77" s="12" t="s">
        <v>146</v>
      </c>
      <c r="Q77" s="12"/>
    </row>
    <row r="78" customFormat="false" ht="13.8" hidden="false" customHeight="false" outlineLevel="0" collapsed="false">
      <c r="A78" s="12" t="n">
        <v>1367</v>
      </c>
      <c r="B78" s="12" t="n">
        <v>0</v>
      </c>
      <c r="C78" s="13" t="s">
        <v>150</v>
      </c>
      <c r="D78" s="14" t="s">
        <v>49</v>
      </c>
      <c r="E78" s="13" t="s">
        <v>54</v>
      </c>
      <c r="F78" s="15" t="n">
        <v>6.72981837873594</v>
      </c>
      <c r="G78" s="15"/>
      <c r="H78" s="15" t="n">
        <f aca="false">(G78-F78)*100/F78</f>
        <v>-100</v>
      </c>
      <c r="I78" s="15"/>
      <c r="J78" s="15" t="n">
        <v>6.624</v>
      </c>
      <c r="K78" s="15"/>
      <c r="L78" s="15" t="n">
        <f aca="false">(K78-J78)*100/J78</f>
        <v>-100</v>
      </c>
      <c r="M78" s="15" t="n">
        <v>0.105818378735937</v>
      </c>
      <c r="N78" s="15" t="n">
        <v>98</v>
      </c>
      <c r="O78" s="15"/>
      <c r="P78" s="12" t="s">
        <v>146</v>
      </c>
      <c r="Q78" s="12"/>
    </row>
    <row r="79" customFormat="false" ht="13.8" hidden="false" customHeight="false" outlineLevel="0" collapsed="false">
      <c r="A79" s="12" t="n">
        <v>1370</v>
      </c>
      <c r="B79" s="12" t="n">
        <v>0</v>
      </c>
      <c r="C79" s="13" t="s">
        <v>151</v>
      </c>
      <c r="D79" s="14" t="s">
        <v>49</v>
      </c>
      <c r="E79" s="13" t="s">
        <v>54</v>
      </c>
      <c r="F79" s="15" t="n">
        <v>4.01919708730063</v>
      </c>
      <c r="G79" s="15"/>
      <c r="H79" s="15" t="n">
        <f aca="false">(G79-F79)*100/F79</f>
        <v>-100</v>
      </c>
      <c r="I79" s="15"/>
      <c r="J79" s="15" t="n">
        <v>3.816</v>
      </c>
      <c r="K79" s="15"/>
      <c r="L79" s="15" t="n">
        <f aca="false">(K79-J79)*100/J79</f>
        <v>-100</v>
      </c>
      <c r="M79" s="15" t="n">
        <v>0.203197087300629</v>
      </c>
      <c r="N79" s="15" t="n">
        <v>95</v>
      </c>
      <c r="O79" s="15"/>
      <c r="P79" s="12" t="s">
        <v>146</v>
      </c>
      <c r="Q79" s="12"/>
    </row>
    <row r="80" customFormat="false" ht="13.8" hidden="false" customHeight="false" outlineLevel="0" collapsed="false">
      <c r="A80" s="12" t="n">
        <v>1373</v>
      </c>
      <c r="B80" s="12" t="n">
        <v>0</v>
      </c>
      <c r="C80" s="13" t="s">
        <v>152</v>
      </c>
      <c r="D80" s="14" t="s">
        <v>49</v>
      </c>
      <c r="E80" s="13" t="s">
        <v>54</v>
      </c>
      <c r="F80" s="15" t="n">
        <v>2.43021219232131</v>
      </c>
      <c r="G80" s="15"/>
      <c r="H80" s="15" t="n">
        <f aca="false">(G80-F80)*100/F80</f>
        <v>-100</v>
      </c>
      <c r="I80" s="15"/>
      <c r="J80" s="15" t="n">
        <v>2.304</v>
      </c>
      <c r="K80" s="15"/>
      <c r="L80" s="15" t="n">
        <f aca="false">(K80-J80)*100/J80</f>
        <v>-100</v>
      </c>
      <c r="M80" s="15" t="n">
        <v>0.126212192321311</v>
      </c>
      <c r="N80" s="15" t="n">
        <v>95</v>
      </c>
      <c r="O80" s="15"/>
      <c r="P80" s="12" t="s">
        <v>146</v>
      </c>
      <c r="Q80" s="12"/>
    </row>
    <row r="81" customFormat="false" ht="13.8" hidden="false" customHeight="false" outlineLevel="0" collapsed="false">
      <c r="A81" s="12" t="n">
        <v>2496</v>
      </c>
      <c r="B81" s="12" t="n">
        <v>3</v>
      </c>
      <c r="C81" s="13" t="s">
        <v>153</v>
      </c>
      <c r="D81" s="14" t="s">
        <v>71</v>
      </c>
      <c r="E81" s="13" t="s">
        <v>74</v>
      </c>
      <c r="F81" s="15" t="n">
        <v>24.3124933401962</v>
      </c>
      <c r="G81" s="15"/>
      <c r="H81" s="15" t="n">
        <f aca="false">(G81-F81)*100/F81</f>
        <v>-100</v>
      </c>
      <c r="I81" s="15"/>
      <c r="J81" s="15" t="n">
        <v>22.558</v>
      </c>
      <c r="K81" s="15"/>
      <c r="L81" s="15" t="n">
        <f aca="false">(K81-J81)*100/J81</f>
        <v>-100</v>
      </c>
      <c r="M81" s="15" t="n">
        <v>1.75449334019624</v>
      </c>
      <c r="N81" s="15" t="n">
        <v>93</v>
      </c>
      <c r="O81" s="15"/>
      <c r="P81" s="12" t="s">
        <v>146</v>
      </c>
      <c r="Q81" s="12"/>
    </row>
    <row r="82" customFormat="false" ht="13.8" hidden="false" customHeight="false" outlineLevel="0" collapsed="false">
      <c r="A82" s="12" t="n">
        <v>813</v>
      </c>
      <c r="B82" s="12" t="n">
        <v>8</v>
      </c>
      <c r="C82" s="13" t="s">
        <v>154</v>
      </c>
      <c r="D82" s="14" t="s">
        <v>107</v>
      </c>
      <c r="E82" s="13" t="s">
        <v>155</v>
      </c>
      <c r="F82" s="15" t="n">
        <v>26.5540335609794</v>
      </c>
      <c r="G82" s="15"/>
      <c r="H82" s="15" t="n">
        <f aca="false">(G82-F82)*100/F82</f>
        <v>-100</v>
      </c>
      <c r="I82" s="15"/>
      <c r="J82" s="15" t="n">
        <v>25.80796</v>
      </c>
      <c r="K82" s="15"/>
      <c r="L82" s="15" t="n">
        <f aca="false">(K82-J82)*100/J82</f>
        <v>-100</v>
      </c>
      <c r="M82" s="15" t="n">
        <v>0.746073560979401</v>
      </c>
      <c r="N82" s="15" t="n">
        <v>97</v>
      </c>
      <c r="O82" s="15"/>
      <c r="P82" s="12" t="s">
        <v>146</v>
      </c>
      <c r="Q82" s="12"/>
    </row>
    <row r="83" customFormat="false" ht="13.8" hidden="false" customHeight="false" outlineLevel="0" collapsed="false">
      <c r="A83" s="12" t="n">
        <v>508</v>
      </c>
      <c r="B83" s="12" t="n">
        <v>31</v>
      </c>
      <c r="C83" s="13" t="s">
        <v>156</v>
      </c>
      <c r="D83" s="14" t="s">
        <v>86</v>
      </c>
      <c r="E83" s="13" t="s">
        <v>84</v>
      </c>
      <c r="F83" s="15" t="n">
        <v>23.7517429729072</v>
      </c>
      <c r="G83" s="15"/>
      <c r="H83" s="15" t="n">
        <f aca="false">(G83-F83)*100/F83</f>
        <v>-100</v>
      </c>
      <c r="I83" s="15"/>
      <c r="J83" s="15" t="n">
        <v>23.325</v>
      </c>
      <c r="K83" s="15"/>
      <c r="L83" s="15" t="n">
        <f aca="false">(K83-J83)*100/J83</f>
        <v>-100</v>
      </c>
      <c r="M83" s="15" t="n">
        <v>0.426742972907235</v>
      </c>
      <c r="N83" s="15" t="n">
        <v>98</v>
      </c>
      <c r="O83" s="15"/>
      <c r="P83" s="12" t="s">
        <v>146</v>
      </c>
      <c r="Q83" s="12"/>
    </row>
    <row r="84" customFormat="false" ht="13.8" hidden="false" customHeight="false" outlineLevel="0" collapsed="false">
      <c r="A84" s="12" t="n">
        <v>525</v>
      </c>
      <c r="B84" s="12" t="n">
        <v>1</v>
      </c>
      <c r="C84" s="13" t="s">
        <v>157</v>
      </c>
      <c r="D84" s="14" t="s">
        <v>86</v>
      </c>
      <c r="E84" s="13" t="s">
        <v>84</v>
      </c>
      <c r="F84" s="15" t="n">
        <v>64.2235765327975</v>
      </c>
      <c r="G84" s="15"/>
      <c r="H84" s="15" t="n">
        <f aca="false">(G84-F84)*100/F84</f>
        <v>-100</v>
      </c>
      <c r="I84" s="15"/>
      <c r="J84" s="15" t="n">
        <v>64.108</v>
      </c>
      <c r="K84" s="15"/>
      <c r="L84" s="15" t="n">
        <f aca="false">(K84-J84)*100/J84</f>
        <v>-100</v>
      </c>
      <c r="M84" s="15" t="n">
        <v>0.115576532797448</v>
      </c>
      <c r="N84" s="15" t="n">
        <v>100</v>
      </c>
      <c r="O84" s="15"/>
      <c r="P84" s="12" t="s">
        <v>146</v>
      </c>
      <c r="Q84" s="12"/>
    </row>
    <row r="85" customFormat="false" ht="13.8" hidden="false" customHeight="false" outlineLevel="0" collapsed="false">
      <c r="A85" s="12" t="n">
        <v>1871</v>
      </c>
      <c r="B85" s="12" t="n">
        <v>23</v>
      </c>
      <c r="C85" s="13" t="s">
        <v>158</v>
      </c>
      <c r="D85" s="14" t="s">
        <v>88</v>
      </c>
      <c r="E85" s="13" t="s">
        <v>84</v>
      </c>
      <c r="F85" s="15" t="n">
        <v>12.4771814351348</v>
      </c>
      <c r="G85" s="15"/>
      <c r="H85" s="15" t="n">
        <f aca="false">(G85-F85)*100/F85</f>
        <v>-100</v>
      </c>
      <c r="I85" s="15"/>
      <c r="J85" s="15" t="n">
        <v>11.44</v>
      </c>
      <c r="K85" s="15"/>
      <c r="L85" s="15" t="n">
        <f aca="false">(K85-J85)*100/J85</f>
        <v>-100</v>
      </c>
      <c r="M85" s="15" t="n">
        <v>1.03718143513481</v>
      </c>
      <c r="N85" s="15" t="n">
        <v>92</v>
      </c>
      <c r="O85" s="15"/>
      <c r="P85" s="12" t="s">
        <v>146</v>
      </c>
      <c r="Q85" s="12"/>
    </row>
    <row r="86" customFormat="false" ht="13.8" hidden="false" customHeight="false" outlineLevel="0" collapsed="false">
      <c r="A86" s="12" t="n">
        <v>1884</v>
      </c>
      <c r="B86" s="12" t="n">
        <v>21</v>
      </c>
      <c r="C86" s="13" t="s">
        <v>159</v>
      </c>
      <c r="D86" s="14" t="s">
        <v>88</v>
      </c>
      <c r="E86" s="13" t="s">
        <v>84</v>
      </c>
      <c r="F86" s="15" t="n">
        <v>108.510063149561</v>
      </c>
      <c r="G86" s="15"/>
      <c r="H86" s="15" t="n">
        <f aca="false">(G86-F86)*100/F86</f>
        <v>-100</v>
      </c>
      <c r="I86" s="15"/>
      <c r="J86" s="15" t="n">
        <v>101.576</v>
      </c>
      <c r="K86" s="15"/>
      <c r="L86" s="15" t="n">
        <f aca="false">(K86-J86)*100/J86</f>
        <v>-100</v>
      </c>
      <c r="M86" s="15" t="n">
        <v>6.93406314956111</v>
      </c>
      <c r="N86" s="15" t="n">
        <v>94</v>
      </c>
      <c r="O86" s="15"/>
      <c r="P86" s="12" t="s">
        <v>146</v>
      </c>
      <c r="Q86" s="12"/>
    </row>
    <row r="87" customFormat="false" ht="13.8" hidden="false" customHeight="false" outlineLevel="0" collapsed="false">
      <c r="A87" s="12" t="n">
        <v>2523</v>
      </c>
      <c r="B87" s="12" t="n">
        <v>8</v>
      </c>
      <c r="C87" s="13" t="s">
        <v>160</v>
      </c>
      <c r="D87" s="14" t="s">
        <v>138</v>
      </c>
      <c r="E87" s="13" t="s">
        <v>139</v>
      </c>
      <c r="F87" s="15" t="n">
        <v>97.8694256122476</v>
      </c>
      <c r="G87" s="15"/>
      <c r="H87" s="15" t="n">
        <f aca="false">(G87-F87)*100/F87</f>
        <v>-100</v>
      </c>
      <c r="I87" s="15"/>
      <c r="J87" s="15" t="n">
        <v>96.22532</v>
      </c>
      <c r="K87" s="15"/>
      <c r="L87" s="15" t="n">
        <f aca="false">(K87-J87)*100/J87</f>
        <v>-100</v>
      </c>
      <c r="M87" s="15" t="n">
        <v>1.64410561224757</v>
      </c>
      <c r="N87" s="15" t="n">
        <v>98</v>
      </c>
      <c r="O87" s="15"/>
      <c r="P87" s="12" t="s">
        <v>146</v>
      </c>
      <c r="Q87" s="12"/>
    </row>
    <row r="88" customFormat="false" ht="13.8" hidden="false" customHeight="false" outlineLevel="0" collapsed="false">
      <c r="A88" s="12" t="n">
        <v>1786</v>
      </c>
      <c r="B88" s="12" t="n">
        <v>40</v>
      </c>
      <c r="C88" s="13" t="s">
        <v>161</v>
      </c>
      <c r="D88" s="14" t="s">
        <v>162</v>
      </c>
      <c r="E88" s="13" t="s">
        <v>163</v>
      </c>
      <c r="F88" s="15" t="n">
        <v>3.10927412681307</v>
      </c>
      <c r="G88" s="15"/>
      <c r="H88" s="15" t="n">
        <f aca="false">(G88-F88)*100/F88</f>
        <v>-100</v>
      </c>
      <c r="I88" s="15"/>
      <c r="J88" s="15" t="n">
        <v>3.075</v>
      </c>
      <c r="K88" s="15"/>
      <c r="L88" s="15" t="n">
        <f aca="false">(K88-J88)*100/J88</f>
        <v>-100</v>
      </c>
      <c r="M88" s="15" t="n">
        <v>0.034274126813068</v>
      </c>
      <c r="N88" s="15" t="n">
        <v>99</v>
      </c>
      <c r="O88" s="15"/>
      <c r="P88" s="12" t="s">
        <v>146</v>
      </c>
      <c r="Q88" s="12"/>
    </row>
    <row r="89" customFormat="false" ht="13.8" hidden="false" customHeight="false" outlineLevel="0" collapsed="false">
      <c r="A89" s="12" t="n">
        <v>879</v>
      </c>
      <c r="B89" s="12" t="n">
        <v>3</v>
      </c>
      <c r="C89" s="13" t="s">
        <v>164</v>
      </c>
      <c r="D89" s="14" t="s">
        <v>25</v>
      </c>
      <c r="E89" s="13" t="s">
        <v>23</v>
      </c>
      <c r="F89" s="15" t="n">
        <v>9.14954972431374</v>
      </c>
      <c r="G89" s="15"/>
      <c r="H89" s="15" t="n">
        <f aca="false">(G89-F89)*100/F89</f>
        <v>-100</v>
      </c>
      <c r="I89" s="15"/>
      <c r="J89" s="15" t="n">
        <v>10.358</v>
      </c>
      <c r="K89" s="15"/>
      <c r="L89" s="15" t="n">
        <f aca="false">(K89-J89)*100/J89</f>
        <v>-100</v>
      </c>
      <c r="M89" s="15" t="n">
        <v>-1.20845027568627</v>
      </c>
      <c r="N89" s="15" t="n">
        <v>113</v>
      </c>
      <c r="O89" s="15"/>
      <c r="P89" s="12" t="s">
        <v>165</v>
      </c>
      <c r="Q89" s="12"/>
    </row>
    <row r="90" customFormat="false" ht="13.8" hidden="false" customHeight="false" outlineLevel="0" collapsed="false">
      <c r="A90" s="12" t="n">
        <v>127</v>
      </c>
      <c r="B90" s="12" t="n">
        <v>87</v>
      </c>
      <c r="C90" s="13" t="s">
        <v>166</v>
      </c>
      <c r="D90" s="14" t="s">
        <v>22</v>
      </c>
      <c r="E90" s="13" t="s">
        <v>167</v>
      </c>
      <c r="F90" s="15" t="n">
        <v>0.425338846620441</v>
      </c>
      <c r="G90" s="15"/>
      <c r="H90" s="15" t="n">
        <f aca="false">(G90-F90)*100/F90</f>
        <v>-100</v>
      </c>
      <c r="I90" s="15"/>
      <c r="J90" s="15" t="n">
        <v>1.512</v>
      </c>
      <c r="K90" s="15"/>
      <c r="L90" s="15" t="n">
        <f aca="false">(K90-J90)*100/J90</f>
        <v>-100</v>
      </c>
      <c r="M90" s="15" t="n">
        <v>-1.08666115337956</v>
      </c>
      <c r="N90" s="15" t="n">
        <v>355</v>
      </c>
      <c r="O90" s="15"/>
      <c r="P90" s="12" t="s">
        <v>165</v>
      </c>
      <c r="Q90" s="12"/>
    </row>
    <row r="91" customFormat="false" ht="13.8" hidden="false" customHeight="false" outlineLevel="0" collapsed="false">
      <c r="A91" s="12" t="n">
        <v>1632</v>
      </c>
      <c r="B91" s="12" t="n">
        <v>8</v>
      </c>
      <c r="C91" s="13" t="s">
        <v>168</v>
      </c>
      <c r="D91" s="14" t="s">
        <v>66</v>
      </c>
      <c r="E91" s="13" t="s">
        <v>54</v>
      </c>
      <c r="F91" s="15" t="n">
        <v>12.0575912619019</v>
      </c>
      <c r="G91" s="15"/>
      <c r="H91" s="15" t="n">
        <f aca="false">(G91-F91)*100/F91</f>
        <v>-100</v>
      </c>
      <c r="I91" s="15"/>
      <c r="J91" s="15" t="n">
        <v>14.626</v>
      </c>
      <c r="K91" s="15"/>
      <c r="L91" s="15" t="n">
        <f aca="false">(K91-J91)*100/J91</f>
        <v>-100</v>
      </c>
      <c r="M91" s="15" t="n">
        <v>-2.56840873809811</v>
      </c>
      <c r="N91" s="15" t="n">
        <v>121</v>
      </c>
      <c r="O91" s="15"/>
      <c r="P91" s="12" t="s">
        <v>165</v>
      </c>
      <c r="Q91" s="12"/>
    </row>
    <row r="92" customFormat="false" ht="13.8" hidden="false" customHeight="false" outlineLevel="0" collapsed="false">
      <c r="A92" s="12" t="n">
        <v>2880</v>
      </c>
      <c r="B92" s="12" t="n">
        <v>10</v>
      </c>
      <c r="C92" s="13" t="s">
        <v>169</v>
      </c>
      <c r="D92" s="14" t="s">
        <v>69</v>
      </c>
      <c r="E92" s="13" t="s">
        <v>54</v>
      </c>
      <c r="F92" s="15" t="n">
        <v>16.5441368477258</v>
      </c>
      <c r="G92" s="15"/>
      <c r="H92" s="15" t="n">
        <f aca="false">(G92-F92)*100/F92</f>
        <v>-100</v>
      </c>
      <c r="I92" s="15"/>
      <c r="J92" s="15" t="n">
        <v>18.6805</v>
      </c>
      <c r="K92" s="15"/>
      <c r="L92" s="15" t="n">
        <f aca="false">(K92-J92)*100/J92</f>
        <v>-100</v>
      </c>
      <c r="M92" s="15" t="n">
        <v>-2.13636315227415</v>
      </c>
      <c r="N92" s="15" t="n">
        <v>113</v>
      </c>
      <c r="O92" s="15"/>
      <c r="P92" s="12" t="s">
        <v>165</v>
      </c>
      <c r="Q92" s="12"/>
    </row>
    <row r="93" customFormat="false" ht="13.8" hidden="false" customHeight="false" outlineLevel="0" collapsed="false">
      <c r="A93" s="12" t="n">
        <v>2888</v>
      </c>
      <c r="B93" s="12" t="n">
        <v>5</v>
      </c>
      <c r="C93" s="13" t="s">
        <v>170</v>
      </c>
      <c r="D93" s="14" t="s">
        <v>69</v>
      </c>
      <c r="E93" s="13" t="s">
        <v>54</v>
      </c>
      <c r="F93" s="15" t="n">
        <v>64.3071533968101</v>
      </c>
      <c r="G93" s="15"/>
      <c r="H93" s="15" t="n">
        <f aca="false">(G93-F93)*100/F93</f>
        <v>-100</v>
      </c>
      <c r="I93" s="15"/>
      <c r="J93" s="15" t="n">
        <v>69.254</v>
      </c>
      <c r="K93" s="15"/>
      <c r="L93" s="15" t="n">
        <f aca="false">(K93-J93)*100/J93</f>
        <v>-100</v>
      </c>
      <c r="M93" s="15" t="n">
        <v>-4.94684660318994</v>
      </c>
      <c r="N93" s="15" t="n">
        <v>108</v>
      </c>
      <c r="O93" s="15"/>
      <c r="P93" s="12" t="s">
        <v>165</v>
      </c>
      <c r="Q93" s="12"/>
    </row>
    <row r="94" customFormat="false" ht="13.8" hidden="false" customHeight="false" outlineLevel="0" collapsed="false">
      <c r="A94" s="12" t="n">
        <v>2896</v>
      </c>
      <c r="B94" s="12" t="n">
        <v>24</v>
      </c>
      <c r="C94" s="13" t="s">
        <v>171</v>
      </c>
      <c r="D94" s="14" t="s">
        <v>69</v>
      </c>
      <c r="E94" s="13" t="s">
        <v>54</v>
      </c>
      <c r="F94" s="15" t="n">
        <v>16.7310762471352</v>
      </c>
      <c r="G94" s="15"/>
      <c r="H94" s="15" t="n">
        <f aca="false">(G94-F94)*100/F94</f>
        <v>-100</v>
      </c>
      <c r="I94" s="15"/>
      <c r="J94" s="15" t="n">
        <v>18.835</v>
      </c>
      <c r="K94" s="15"/>
      <c r="L94" s="15" t="n">
        <f aca="false">(K94-J94)*100/J94</f>
        <v>-100</v>
      </c>
      <c r="M94" s="15" t="n">
        <v>-2.10392375286482</v>
      </c>
      <c r="N94" s="15" t="n">
        <v>113</v>
      </c>
      <c r="O94" s="15"/>
      <c r="P94" s="12" t="s">
        <v>165</v>
      </c>
      <c r="Q94" s="12"/>
    </row>
    <row r="95" customFormat="false" ht="13.8" hidden="false" customHeight="false" outlineLevel="0" collapsed="false">
      <c r="A95" s="12" t="n">
        <v>2897</v>
      </c>
      <c r="B95" s="12" t="n">
        <v>8</v>
      </c>
      <c r="C95" s="13" t="s">
        <v>172</v>
      </c>
      <c r="D95" s="14" t="s">
        <v>69</v>
      </c>
      <c r="E95" s="13" t="s">
        <v>54</v>
      </c>
      <c r="F95" s="15" t="n">
        <v>25.4237583196691</v>
      </c>
      <c r="G95" s="15"/>
      <c r="H95" s="15" t="n">
        <f aca="false">(G95-F95)*100/F95</f>
        <v>-100</v>
      </c>
      <c r="I95" s="15"/>
      <c r="J95" s="15" t="n">
        <v>31.49</v>
      </c>
      <c r="K95" s="15"/>
      <c r="L95" s="15" t="n">
        <f aca="false">(K95-J95)*100/J95</f>
        <v>-100</v>
      </c>
      <c r="M95" s="15" t="n">
        <v>-6.0662416803309</v>
      </c>
      <c r="N95" s="15" t="n">
        <v>124</v>
      </c>
      <c r="O95" s="15"/>
      <c r="P95" s="12" t="s">
        <v>165</v>
      </c>
      <c r="Q95" s="12"/>
    </row>
    <row r="96" customFormat="false" ht="13.8" hidden="false" customHeight="false" outlineLevel="0" collapsed="false">
      <c r="A96" s="12" t="n">
        <v>2901</v>
      </c>
      <c r="B96" s="12" t="n">
        <v>12</v>
      </c>
      <c r="C96" s="13" t="s">
        <v>173</v>
      </c>
      <c r="D96" s="14" t="s">
        <v>69</v>
      </c>
      <c r="E96" s="13" t="s">
        <v>54</v>
      </c>
      <c r="F96" s="15" t="n">
        <v>30.5645918034257</v>
      </c>
      <c r="G96" s="15"/>
      <c r="H96" s="15" t="n">
        <f aca="false">(G96-F96)*100/F96</f>
        <v>-100</v>
      </c>
      <c r="I96" s="15"/>
      <c r="J96" s="15" t="n">
        <v>34.749</v>
      </c>
      <c r="K96" s="15"/>
      <c r="L96" s="15" t="n">
        <f aca="false">(K96-J96)*100/J96</f>
        <v>-100</v>
      </c>
      <c r="M96" s="15" t="n">
        <v>-4.18440819657429</v>
      </c>
      <c r="N96" s="15" t="n">
        <v>114</v>
      </c>
      <c r="O96" s="15"/>
      <c r="P96" s="12" t="s">
        <v>165</v>
      </c>
      <c r="Q96" s="12"/>
    </row>
    <row r="97" customFormat="false" ht="13.8" hidden="false" customHeight="false" outlineLevel="0" collapsed="false">
      <c r="A97" s="12" t="n">
        <v>1640</v>
      </c>
      <c r="B97" s="12" t="n">
        <v>12</v>
      </c>
      <c r="C97" s="13" t="s">
        <v>174</v>
      </c>
      <c r="D97" s="14" t="s">
        <v>66</v>
      </c>
      <c r="E97" s="13" t="s">
        <v>175</v>
      </c>
      <c r="F97" s="15" t="n">
        <v>27.6131817618462</v>
      </c>
      <c r="G97" s="15"/>
      <c r="H97" s="15" t="n">
        <f aca="false">(G97-F97)*100/F97</f>
        <v>-100</v>
      </c>
      <c r="I97" s="15"/>
      <c r="J97" s="15" t="n">
        <v>29.72118</v>
      </c>
      <c r="K97" s="15"/>
      <c r="L97" s="15" t="n">
        <f aca="false">(K97-J97)*100/J97</f>
        <v>-100</v>
      </c>
      <c r="M97" s="15" t="n">
        <v>-2.1079982381538</v>
      </c>
      <c r="N97" s="15" t="n">
        <v>108</v>
      </c>
      <c r="O97" s="15"/>
      <c r="P97" s="12" t="s">
        <v>165</v>
      </c>
      <c r="Q97" s="12"/>
    </row>
    <row r="98" customFormat="false" ht="13.8" hidden="false" customHeight="false" outlineLevel="0" collapsed="false">
      <c r="A98" s="12" t="n">
        <v>2814</v>
      </c>
      <c r="B98" s="12" t="n">
        <v>1</v>
      </c>
      <c r="C98" s="13" t="s">
        <v>77</v>
      </c>
      <c r="D98" s="14" t="s">
        <v>77</v>
      </c>
      <c r="E98" s="13" t="s">
        <v>78</v>
      </c>
      <c r="F98" s="15" t="n">
        <v>29.3919646531592</v>
      </c>
      <c r="G98" s="15"/>
      <c r="H98" s="15" t="n">
        <f aca="false">(G98-F98)*100/F98</f>
        <v>-100</v>
      </c>
      <c r="I98" s="15"/>
      <c r="J98" s="15" t="n">
        <v>32.098</v>
      </c>
      <c r="K98" s="15"/>
      <c r="L98" s="15" t="n">
        <f aca="false">(K98-J98)*100/J98</f>
        <v>-100</v>
      </c>
      <c r="M98" s="15" t="n">
        <v>-2.70603534684076</v>
      </c>
      <c r="N98" s="15" t="n">
        <v>109</v>
      </c>
      <c r="O98" s="15"/>
      <c r="P98" s="12" t="s">
        <v>165</v>
      </c>
      <c r="Q98" s="12"/>
    </row>
    <row r="99" customFormat="false" ht="13.8" hidden="false" customHeight="false" outlineLevel="0" collapsed="false">
      <c r="A99" s="12" t="n">
        <v>2928</v>
      </c>
      <c r="B99" s="12" t="n">
        <v>49</v>
      </c>
      <c r="C99" s="13" t="s">
        <v>109</v>
      </c>
      <c r="D99" s="14" t="s">
        <v>80</v>
      </c>
      <c r="E99" s="13" t="s">
        <v>78</v>
      </c>
      <c r="F99" s="15" t="n">
        <v>8.52891831453282</v>
      </c>
      <c r="G99" s="15"/>
      <c r="H99" s="15" t="n">
        <f aca="false">(G99-F99)*100/F99</f>
        <v>-100</v>
      </c>
      <c r="I99" s="15"/>
      <c r="J99" s="15" t="n">
        <v>13.144</v>
      </c>
      <c r="K99" s="15"/>
      <c r="L99" s="15" t="n">
        <f aca="false">(K99-J99)*100/J99</f>
        <v>-100</v>
      </c>
      <c r="M99" s="15" t="n">
        <v>-4.61508168546719</v>
      </c>
      <c r="N99" s="15" t="n">
        <v>154</v>
      </c>
      <c r="O99" s="15"/>
      <c r="P99" s="12" t="s">
        <v>165</v>
      </c>
      <c r="Q99" s="12"/>
    </row>
    <row r="100" customFormat="false" ht="13.8" hidden="false" customHeight="false" outlineLevel="0" collapsed="false">
      <c r="A100" s="12" t="n">
        <v>2931</v>
      </c>
      <c r="B100" s="12" t="n">
        <v>3</v>
      </c>
      <c r="C100" s="13" t="s">
        <v>176</v>
      </c>
      <c r="D100" s="14" t="s">
        <v>80</v>
      </c>
      <c r="E100" s="13" t="s">
        <v>78</v>
      </c>
      <c r="F100" s="15" t="n">
        <v>20.6006180827946</v>
      </c>
      <c r="G100" s="15"/>
      <c r="H100" s="15" t="n">
        <f aca="false">(G100-F100)*100/F100</f>
        <v>-100</v>
      </c>
      <c r="I100" s="15"/>
      <c r="J100" s="15" t="n">
        <v>31.098</v>
      </c>
      <c r="K100" s="15"/>
      <c r="L100" s="15" t="n">
        <f aca="false">(K100-J100)*100/J100</f>
        <v>-100</v>
      </c>
      <c r="M100" s="15" t="n">
        <v>-10.4973819172054</v>
      </c>
      <c r="N100" s="15" t="n">
        <v>151</v>
      </c>
      <c r="O100" s="15"/>
      <c r="P100" s="12" t="s">
        <v>165</v>
      </c>
      <c r="Q100" s="12"/>
    </row>
    <row r="101" customFormat="false" ht="13.8" hidden="false" customHeight="false" outlineLevel="0" collapsed="false">
      <c r="A101" s="12" t="n">
        <v>2954</v>
      </c>
      <c r="B101" s="12" t="n">
        <v>48</v>
      </c>
      <c r="C101" s="13" t="s">
        <v>177</v>
      </c>
      <c r="D101" s="14" t="s">
        <v>80</v>
      </c>
      <c r="E101" s="13" t="s">
        <v>78</v>
      </c>
      <c r="F101" s="15" t="n">
        <v>16.9266225011497</v>
      </c>
      <c r="G101" s="15"/>
      <c r="H101" s="15" t="n">
        <f aca="false">(G101-F101)*100/F101</f>
        <v>-100</v>
      </c>
      <c r="I101" s="15"/>
      <c r="J101" s="15" t="n">
        <v>34.526</v>
      </c>
      <c r="K101" s="15"/>
      <c r="L101" s="15" t="n">
        <f aca="false">(K101-J101)*100/J101</f>
        <v>-100</v>
      </c>
      <c r="M101" s="15" t="n">
        <v>-17.5993774988503</v>
      </c>
      <c r="N101" s="15" t="n">
        <v>204</v>
      </c>
      <c r="O101" s="15"/>
      <c r="P101" s="12" t="s">
        <v>165</v>
      </c>
      <c r="Q101" s="12"/>
    </row>
    <row r="102" customFormat="false" ht="13.8" hidden="false" customHeight="false" outlineLevel="0" collapsed="false">
      <c r="A102" s="12" t="n">
        <v>2909</v>
      </c>
      <c r="B102" s="12" t="n">
        <v>6</v>
      </c>
      <c r="C102" s="13" t="s">
        <v>178</v>
      </c>
      <c r="D102" s="14" t="s">
        <v>80</v>
      </c>
      <c r="E102" s="13" t="s">
        <v>82</v>
      </c>
      <c r="F102" s="15" t="n">
        <v>6.49560575614965</v>
      </c>
      <c r="G102" s="15"/>
      <c r="H102" s="15" t="n">
        <f aca="false">(G102-F102)*100/F102</f>
        <v>-100</v>
      </c>
      <c r="I102" s="15"/>
      <c r="J102" s="15" t="n">
        <v>9.244</v>
      </c>
      <c r="K102" s="15"/>
      <c r="L102" s="15" t="n">
        <f aca="false">(K102-J102)*100/J102</f>
        <v>-100</v>
      </c>
      <c r="M102" s="15" t="n">
        <v>-2.74839424385035</v>
      </c>
      <c r="N102" s="15" t="n">
        <v>142</v>
      </c>
      <c r="O102" s="15"/>
      <c r="P102" s="12" t="s">
        <v>165</v>
      </c>
      <c r="Q102" s="12"/>
    </row>
    <row r="103" customFormat="false" ht="13.8" hidden="false" customHeight="false" outlineLevel="0" collapsed="false">
      <c r="A103" s="12" t="n">
        <v>817</v>
      </c>
      <c r="B103" s="12" t="n">
        <v>11</v>
      </c>
      <c r="C103" s="13" t="s">
        <v>156</v>
      </c>
      <c r="D103" s="14" t="s">
        <v>107</v>
      </c>
      <c r="E103" s="13" t="s">
        <v>155</v>
      </c>
      <c r="F103" s="15" t="n">
        <v>45.4741015642005</v>
      </c>
      <c r="G103" s="15"/>
      <c r="H103" s="15" t="n">
        <f aca="false">(G103-F103)*100/F103</f>
        <v>-100</v>
      </c>
      <c r="I103" s="15"/>
      <c r="J103" s="15" t="n">
        <v>66.2009</v>
      </c>
      <c r="K103" s="15"/>
      <c r="L103" s="15" t="n">
        <f aca="false">(K103-J103)*100/J103</f>
        <v>-100</v>
      </c>
      <c r="M103" s="15" t="n">
        <v>-20.7267984357995</v>
      </c>
      <c r="N103" s="15" t="n">
        <v>146</v>
      </c>
      <c r="O103" s="15"/>
      <c r="P103" s="12" t="s">
        <v>165</v>
      </c>
      <c r="Q103" s="12"/>
    </row>
    <row r="104" customFormat="false" ht="13.8" hidden="false" customHeight="false" outlineLevel="0" collapsed="false">
      <c r="A104" s="12" t="n">
        <v>520</v>
      </c>
      <c r="B104" s="12" t="n">
        <v>4</v>
      </c>
      <c r="C104" s="13" t="s">
        <v>179</v>
      </c>
      <c r="D104" s="14" t="s">
        <v>86</v>
      </c>
      <c r="E104" s="13" t="s">
        <v>84</v>
      </c>
      <c r="F104" s="15" t="n">
        <v>29.7422161042472</v>
      </c>
      <c r="G104" s="15"/>
      <c r="H104" s="15" t="n">
        <f aca="false">(G104-F104)*100/F104</f>
        <v>-100</v>
      </c>
      <c r="I104" s="15"/>
      <c r="J104" s="15" t="n">
        <v>34.196</v>
      </c>
      <c r="K104" s="15"/>
      <c r="L104" s="15" t="n">
        <f aca="false">(K104-J104)*100/J104</f>
        <v>-100</v>
      </c>
      <c r="M104" s="15" t="n">
        <v>-4.45378389575283</v>
      </c>
      <c r="N104" s="15" t="n">
        <v>115</v>
      </c>
      <c r="O104" s="15"/>
      <c r="P104" s="12" t="s">
        <v>165</v>
      </c>
      <c r="Q104" s="12"/>
    </row>
    <row r="105" customFormat="false" ht="13.8" hidden="false" customHeight="false" outlineLevel="0" collapsed="false">
      <c r="A105" s="12" t="n">
        <v>523</v>
      </c>
      <c r="B105" s="12" t="n">
        <v>22</v>
      </c>
      <c r="C105" s="13" t="s">
        <v>180</v>
      </c>
      <c r="D105" s="14" t="s">
        <v>86</v>
      </c>
      <c r="E105" s="13" t="s">
        <v>84</v>
      </c>
      <c r="F105" s="15" t="n">
        <v>24.3493967007298</v>
      </c>
      <c r="G105" s="15"/>
      <c r="H105" s="15" t="n">
        <f aca="false">(G105-F105)*100/F105</f>
        <v>-100</v>
      </c>
      <c r="I105" s="15"/>
      <c r="J105" s="15" t="n">
        <v>25.384</v>
      </c>
      <c r="K105" s="15"/>
      <c r="L105" s="15" t="n">
        <f aca="false">(K105-J105)*100/J105</f>
        <v>-100</v>
      </c>
      <c r="M105" s="15" t="n">
        <v>-1.03460329927017</v>
      </c>
      <c r="N105" s="15" t="n">
        <v>104</v>
      </c>
      <c r="O105" s="15"/>
      <c r="P105" s="12" t="s">
        <v>165</v>
      </c>
      <c r="Q105" s="12"/>
    </row>
    <row r="106" customFormat="false" ht="13.8" hidden="false" customHeight="false" outlineLevel="0" collapsed="false">
      <c r="A106" s="12" t="n">
        <v>530</v>
      </c>
      <c r="B106" s="12" t="n">
        <v>6</v>
      </c>
      <c r="C106" s="13" t="s">
        <v>181</v>
      </c>
      <c r="D106" s="14" t="s">
        <v>86</v>
      </c>
      <c r="E106" s="13" t="s">
        <v>84</v>
      </c>
      <c r="F106" s="15" t="n">
        <v>44.4499053865672</v>
      </c>
      <c r="G106" s="15"/>
      <c r="H106" s="15" t="n">
        <f aca="false">(G106-F106)*100/F106</f>
        <v>-100</v>
      </c>
      <c r="I106" s="15"/>
      <c r="J106" s="15" t="n">
        <v>73.686</v>
      </c>
      <c r="K106" s="15"/>
      <c r="L106" s="15" t="n">
        <f aca="false">(K106-J106)*100/J106</f>
        <v>-100</v>
      </c>
      <c r="M106" s="15" t="n">
        <v>-29.2360946134328</v>
      </c>
      <c r="N106" s="15" t="n">
        <v>166</v>
      </c>
      <c r="O106" s="15"/>
      <c r="P106" s="12" t="s">
        <v>165</v>
      </c>
      <c r="Q106" s="12"/>
    </row>
    <row r="107" customFormat="false" ht="13.8" hidden="false" customHeight="false" outlineLevel="0" collapsed="false">
      <c r="A107" s="12" t="n">
        <v>536</v>
      </c>
      <c r="B107" s="12" t="n">
        <v>7</v>
      </c>
      <c r="C107" s="13" t="s">
        <v>182</v>
      </c>
      <c r="D107" s="14" t="s">
        <v>86</v>
      </c>
      <c r="E107" s="13" t="s">
        <v>84</v>
      </c>
      <c r="F107" s="15" t="n">
        <v>25.4933280893547</v>
      </c>
      <c r="G107" s="15"/>
      <c r="H107" s="15" t="n">
        <f aca="false">(G107-F107)*100/F107</f>
        <v>-100</v>
      </c>
      <c r="I107" s="15"/>
      <c r="J107" s="15" t="n">
        <v>51.658</v>
      </c>
      <c r="K107" s="15"/>
      <c r="L107" s="15" t="n">
        <f aca="false">(K107-J107)*100/J107</f>
        <v>-100</v>
      </c>
      <c r="M107" s="15" t="n">
        <v>-26.1646719106453</v>
      </c>
      <c r="N107" s="15" t="n">
        <v>203</v>
      </c>
      <c r="O107" s="15"/>
      <c r="P107" s="12" t="s">
        <v>165</v>
      </c>
      <c r="Q107" s="12"/>
    </row>
    <row r="108" customFormat="false" ht="13.8" hidden="false" customHeight="false" outlineLevel="0" collapsed="false">
      <c r="A108" s="12" t="n">
        <v>1680</v>
      </c>
      <c r="B108" s="12" t="n">
        <v>28</v>
      </c>
      <c r="C108" s="13" t="s">
        <v>183</v>
      </c>
      <c r="D108" s="14" t="s">
        <v>98</v>
      </c>
      <c r="E108" s="13" t="s">
        <v>84</v>
      </c>
      <c r="F108" s="15" t="n">
        <v>40.6912736810854</v>
      </c>
      <c r="G108" s="15"/>
      <c r="H108" s="15" t="n">
        <f aca="false">(G108-F108)*100/F108</f>
        <v>-100</v>
      </c>
      <c r="I108" s="15"/>
      <c r="J108" s="15" t="n">
        <v>64.606</v>
      </c>
      <c r="K108" s="15"/>
      <c r="L108" s="15" t="n">
        <f aca="false">(K108-J108)*100/J108</f>
        <v>-100</v>
      </c>
      <c r="M108" s="15" t="n">
        <v>-23.9147263189146</v>
      </c>
      <c r="N108" s="15" t="n">
        <v>159</v>
      </c>
      <c r="O108" s="15"/>
      <c r="P108" s="12" t="s">
        <v>165</v>
      </c>
      <c r="Q108" s="12"/>
    </row>
    <row r="109" customFormat="false" ht="13.8" hidden="false" customHeight="false" outlineLevel="0" collapsed="false">
      <c r="A109" s="12" t="n">
        <v>1870</v>
      </c>
      <c r="B109" s="12" t="n">
        <v>11</v>
      </c>
      <c r="C109" s="13" t="s">
        <v>184</v>
      </c>
      <c r="D109" s="14" t="s">
        <v>88</v>
      </c>
      <c r="E109" s="13" t="s">
        <v>84</v>
      </c>
      <c r="F109" s="15" t="n">
        <v>26.4738407081761</v>
      </c>
      <c r="G109" s="15"/>
      <c r="H109" s="15" t="n">
        <f aca="false">(G109-F109)*100/F109</f>
        <v>-100</v>
      </c>
      <c r="I109" s="15"/>
      <c r="J109" s="15" t="n">
        <v>63.88</v>
      </c>
      <c r="K109" s="15"/>
      <c r="L109" s="15" t="n">
        <f aca="false">(K109-J109)*100/J109</f>
        <v>-100</v>
      </c>
      <c r="M109" s="15" t="n">
        <v>-37.4061592918239</v>
      </c>
      <c r="N109" s="15" t="n">
        <v>241</v>
      </c>
      <c r="O109" s="15"/>
      <c r="P109" s="12" t="s">
        <v>165</v>
      </c>
      <c r="Q109" s="12"/>
    </row>
    <row r="110" customFormat="false" ht="13.8" hidden="false" customHeight="false" outlineLevel="0" collapsed="false">
      <c r="A110" s="12" t="n">
        <v>1874</v>
      </c>
      <c r="B110" s="12" t="n">
        <v>22</v>
      </c>
      <c r="C110" s="13" t="s">
        <v>185</v>
      </c>
      <c r="D110" s="14" t="s">
        <v>88</v>
      </c>
      <c r="E110" s="13" t="s">
        <v>84</v>
      </c>
      <c r="F110" s="15" t="n">
        <v>34.1243395876579</v>
      </c>
      <c r="G110" s="15"/>
      <c r="H110" s="15" t="n">
        <f aca="false">(G110-F110)*100/F110</f>
        <v>-100</v>
      </c>
      <c r="I110" s="15"/>
      <c r="J110" s="15" t="n">
        <v>35.508</v>
      </c>
      <c r="K110" s="15"/>
      <c r="L110" s="15" t="n">
        <f aca="false">(K110-J110)*100/J110</f>
        <v>-100</v>
      </c>
      <c r="M110" s="15" t="n">
        <v>-1.38366041234214</v>
      </c>
      <c r="N110" s="15" t="n">
        <v>104</v>
      </c>
      <c r="O110" s="15"/>
      <c r="P110" s="12" t="s">
        <v>165</v>
      </c>
      <c r="Q110" s="12"/>
    </row>
    <row r="111" customFormat="false" ht="13.8" hidden="false" customHeight="false" outlineLevel="0" collapsed="false">
      <c r="A111" s="12" t="n">
        <v>1876</v>
      </c>
      <c r="B111" s="12" t="n">
        <v>22</v>
      </c>
      <c r="C111" s="13" t="s">
        <v>186</v>
      </c>
      <c r="D111" s="14" t="s">
        <v>88</v>
      </c>
      <c r="E111" s="13" t="s">
        <v>84</v>
      </c>
      <c r="F111" s="15" t="n">
        <v>6.01309948681196</v>
      </c>
      <c r="G111" s="15"/>
      <c r="H111" s="15" t="n">
        <f aca="false">(G111-F111)*100/F111</f>
        <v>-100</v>
      </c>
      <c r="I111" s="15"/>
      <c r="J111" s="15" t="n">
        <v>8.334</v>
      </c>
      <c r="K111" s="15"/>
      <c r="L111" s="15" t="n">
        <f aca="false">(K111-J111)*100/J111</f>
        <v>-100</v>
      </c>
      <c r="M111" s="15" t="n">
        <v>-2.32090051318804</v>
      </c>
      <c r="N111" s="15" t="n">
        <v>139</v>
      </c>
      <c r="O111" s="15"/>
      <c r="P111" s="12" t="s">
        <v>165</v>
      </c>
      <c r="Q111" s="12"/>
    </row>
    <row r="112" customFormat="false" ht="13.8" hidden="false" customHeight="false" outlineLevel="0" collapsed="false">
      <c r="A112" s="12" t="n">
        <v>1878</v>
      </c>
      <c r="B112" s="12" t="n">
        <v>19</v>
      </c>
      <c r="C112" s="13" t="s">
        <v>187</v>
      </c>
      <c r="D112" s="14" t="s">
        <v>88</v>
      </c>
      <c r="E112" s="13" t="s">
        <v>84</v>
      </c>
      <c r="F112" s="15" t="n">
        <v>17.8126459085876</v>
      </c>
      <c r="G112" s="15"/>
      <c r="H112" s="15" t="n">
        <f aca="false">(G112-F112)*100/F112</f>
        <v>-100</v>
      </c>
      <c r="I112" s="15"/>
      <c r="J112" s="15" t="n">
        <v>21.3</v>
      </c>
      <c r="K112" s="15"/>
      <c r="L112" s="15" t="n">
        <f aca="false">(K112-J112)*100/J112</f>
        <v>-100</v>
      </c>
      <c r="M112" s="15" t="n">
        <v>-3.48735409141241</v>
      </c>
      <c r="N112" s="15" t="n">
        <v>120</v>
      </c>
      <c r="O112" s="15"/>
      <c r="P112" s="12" t="s">
        <v>165</v>
      </c>
      <c r="Q112" s="12"/>
    </row>
    <row r="113" customFormat="false" ht="13.8" hidden="false" customHeight="false" outlineLevel="0" collapsed="false">
      <c r="A113" s="12" t="n">
        <v>1886</v>
      </c>
      <c r="B113" s="12" t="n">
        <v>18</v>
      </c>
      <c r="C113" s="13" t="s">
        <v>188</v>
      </c>
      <c r="D113" s="14" t="s">
        <v>88</v>
      </c>
      <c r="E113" s="13" t="s">
        <v>84</v>
      </c>
      <c r="F113" s="15" t="n">
        <v>27.9446096364081</v>
      </c>
      <c r="G113" s="15"/>
      <c r="H113" s="15" t="n">
        <f aca="false">(G113-F113)*100/F113</f>
        <v>-100</v>
      </c>
      <c r="I113" s="15"/>
      <c r="J113" s="15" t="n">
        <v>42.998</v>
      </c>
      <c r="K113" s="15"/>
      <c r="L113" s="15" t="n">
        <f aca="false">(K113-J113)*100/J113</f>
        <v>-100</v>
      </c>
      <c r="M113" s="15" t="n">
        <v>-15.0533903635919</v>
      </c>
      <c r="N113" s="15" t="n">
        <v>154</v>
      </c>
      <c r="O113" s="15"/>
      <c r="P113" s="12" t="s">
        <v>165</v>
      </c>
      <c r="Q113" s="12"/>
    </row>
    <row r="114" customFormat="false" ht="13.8" hidden="false" customHeight="false" outlineLevel="0" collapsed="false">
      <c r="A114" s="12" t="n">
        <v>1889</v>
      </c>
      <c r="B114" s="12" t="n">
        <v>26</v>
      </c>
      <c r="C114" s="13" t="s">
        <v>189</v>
      </c>
      <c r="D114" s="14" t="s">
        <v>88</v>
      </c>
      <c r="E114" s="13" t="s">
        <v>84</v>
      </c>
      <c r="F114" s="15" t="n">
        <v>3.15687723057628</v>
      </c>
      <c r="G114" s="15"/>
      <c r="H114" s="15" t="n">
        <f aca="false">(G114-F114)*100/F114</f>
        <v>-100</v>
      </c>
      <c r="I114" s="15"/>
      <c r="J114" s="15" t="n">
        <v>8.58</v>
      </c>
      <c r="K114" s="15"/>
      <c r="L114" s="15" t="n">
        <f aca="false">(K114-J114)*100/J114</f>
        <v>-100</v>
      </c>
      <c r="M114" s="15" t="n">
        <v>-5.42312276942372</v>
      </c>
      <c r="N114" s="15" t="n">
        <v>272</v>
      </c>
      <c r="O114" s="15"/>
      <c r="P114" s="12" t="s">
        <v>165</v>
      </c>
      <c r="Q114" s="12"/>
    </row>
    <row r="115" customFormat="false" ht="13.8" hidden="false" customHeight="false" outlineLevel="0" collapsed="false">
      <c r="A115" s="12" t="n">
        <v>1892</v>
      </c>
      <c r="B115" s="12" t="n">
        <v>20</v>
      </c>
      <c r="C115" s="13" t="s">
        <v>190</v>
      </c>
      <c r="D115" s="14" t="s">
        <v>88</v>
      </c>
      <c r="E115" s="13" t="s">
        <v>84</v>
      </c>
      <c r="F115" s="15" t="n">
        <v>40.738749023151</v>
      </c>
      <c r="G115" s="15"/>
      <c r="H115" s="15" t="n">
        <f aca="false">(G115-F115)*100/F115</f>
        <v>-100</v>
      </c>
      <c r="I115" s="15"/>
      <c r="J115" s="15" t="n">
        <v>49.584</v>
      </c>
      <c r="K115" s="15"/>
      <c r="L115" s="15" t="n">
        <f aca="false">(K115-J115)*100/J115</f>
        <v>-100</v>
      </c>
      <c r="M115" s="15" t="n">
        <v>-8.84525097684899</v>
      </c>
      <c r="N115" s="15" t="n">
        <v>122</v>
      </c>
      <c r="O115" s="15"/>
      <c r="P115" s="12" t="s">
        <v>165</v>
      </c>
      <c r="Q115" s="12"/>
    </row>
    <row r="116" customFormat="false" ht="13.8" hidden="false" customHeight="false" outlineLevel="0" collapsed="false">
      <c r="A116" s="12" t="n">
        <v>1893</v>
      </c>
      <c r="B116" s="12" t="n">
        <v>10</v>
      </c>
      <c r="C116" s="13" t="s">
        <v>182</v>
      </c>
      <c r="D116" s="14" t="s">
        <v>88</v>
      </c>
      <c r="E116" s="13" t="s">
        <v>84</v>
      </c>
      <c r="F116" s="15" t="n">
        <v>27.2092751778241</v>
      </c>
      <c r="G116" s="15"/>
      <c r="H116" s="15" t="n">
        <f aca="false">(G116-F116)*100/F116</f>
        <v>-100</v>
      </c>
      <c r="I116" s="15"/>
      <c r="J116" s="15" t="n">
        <v>49.754</v>
      </c>
      <c r="K116" s="15"/>
      <c r="L116" s="15" t="n">
        <f aca="false">(K116-J116)*100/J116</f>
        <v>-100</v>
      </c>
      <c r="M116" s="15" t="n">
        <v>-22.5447248221759</v>
      </c>
      <c r="N116" s="15" t="n">
        <v>183</v>
      </c>
      <c r="O116" s="15"/>
      <c r="P116" s="12" t="s">
        <v>165</v>
      </c>
      <c r="Q116" s="12"/>
    </row>
    <row r="117" customFormat="false" ht="13.8" hidden="false" customHeight="false" outlineLevel="0" collapsed="false">
      <c r="A117" s="12" t="n">
        <v>1896</v>
      </c>
      <c r="B117" s="12" t="n">
        <v>12</v>
      </c>
      <c r="C117" s="13" t="s">
        <v>191</v>
      </c>
      <c r="D117" s="14" t="s">
        <v>88</v>
      </c>
      <c r="E117" s="13" t="s">
        <v>84</v>
      </c>
      <c r="F117" s="15" t="n">
        <v>30.8861474928721</v>
      </c>
      <c r="G117" s="15"/>
      <c r="H117" s="15" t="n">
        <f aca="false">(G117-F117)*100/F117</f>
        <v>-100</v>
      </c>
      <c r="I117" s="15"/>
      <c r="J117" s="15" t="n">
        <v>45.2</v>
      </c>
      <c r="K117" s="15"/>
      <c r="L117" s="15" t="n">
        <f aca="false">(K117-J117)*100/J117</f>
        <v>-100</v>
      </c>
      <c r="M117" s="15" t="n">
        <v>-14.3138525071279</v>
      </c>
      <c r="N117" s="15" t="n">
        <v>146</v>
      </c>
      <c r="O117" s="15"/>
      <c r="P117" s="12" t="s">
        <v>165</v>
      </c>
      <c r="Q117" s="12"/>
    </row>
    <row r="118" customFormat="false" ht="13.8" hidden="false" customHeight="false" outlineLevel="0" collapsed="false">
      <c r="A118" s="12" t="n">
        <v>814</v>
      </c>
      <c r="B118" s="12" t="n">
        <v>5</v>
      </c>
      <c r="C118" s="13" t="s">
        <v>192</v>
      </c>
      <c r="D118" s="14" t="s">
        <v>107</v>
      </c>
      <c r="E118" s="13" t="s">
        <v>100</v>
      </c>
      <c r="F118" s="15" t="n">
        <v>27.7011222072861</v>
      </c>
      <c r="G118" s="15"/>
      <c r="H118" s="15" t="n">
        <f aca="false">(G118-F118)*100/F118</f>
        <v>-100</v>
      </c>
      <c r="I118" s="15"/>
      <c r="J118" s="15" t="n">
        <v>30.317</v>
      </c>
      <c r="K118" s="15"/>
      <c r="L118" s="15" t="n">
        <f aca="false">(K118-J118)*100/J118</f>
        <v>-100</v>
      </c>
      <c r="M118" s="15" t="n">
        <v>-2.61587779271387</v>
      </c>
      <c r="N118" s="15" t="n">
        <v>109</v>
      </c>
      <c r="O118" s="15"/>
      <c r="P118" s="12" t="s">
        <v>165</v>
      </c>
      <c r="Q118" s="12"/>
    </row>
    <row r="119" customFormat="false" ht="13.8" hidden="false" customHeight="false" outlineLevel="0" collapsed="false">
      <c r="A119" s="12" t="n">
        <v>840</v>
      </c>
      <c r="B119" s="12" t="n">
        <v>16</v>
      </c>
      <c r="C119" s="13" t="s">
        <v>193</v>
      </c>
      <c r="D119" s="14" t="s">
        <v>107</v>
      </c>
      <c r="E119" s="13" t="s">
        <v>100</v>
      </c>
      <c r="F119" s="15" t="n">
        <v>15.8151796999045</v>
      </c>
      <c r="G119" s="15"/>
      <c r="H119" s="15" t="n">
        <f aca="false">(G119-F119)*100/F119</f>
        <v>-100</v>
      </c>
      <c r="I119" s="15"/>
      <c r="J119" s="15" t="n">
        <v>25.566</v>
      </c>
      <c r="K119" s="15"/>
      <c r="L119" s="15" t="n">
        <f aca="false">(K119-J119)*100/J119</f>
        <v>-100</v>
      </c>
      <c r="M119" s="15" t="n">
        <v>-9.75082030009551</v>
      </c>
      <c r="N119" s="15" t="n">
        <v>162</v>
      </c>
      <c r="O119" s="15"/>
      <c r="P119" s="12" t="s">
        <v>165</v>
      </c>
      <c r="Q119" s="12"/>
    </row>
    <row r="120" customFormat="false" ht="13.8" hidden="false" customHeight="false" outlineLevel="0" collapsed="false">
      <c r="A120" s="12" t="n">
        <v>847</v>
      </c>
      <c r="B120" s="12" t="n">
        <v>40</v>
      </c>
      <c r="C120" s="13" t="s">
        <v>194</v>
      </c>
      <c r="D120" s="14" t="s">
        <v>25</v>
      </c>
      <c r="E120" s="13" t="s">
        <v>100</v>
      </c>
      <c r="F120" s="15" t="n">
        <v>45.6773823630782</v>
      </c>
      <c r="G120" s="15"/>
      <c r="H120" s="15" t="n">
        <f aca="false">(G120-F120)*100/F120</f>
        <v>-100</v>
      </c>
      <c r="I120" s="15"/>
      <c r="J120" s="15" t="n">
        <v>68.619</v>
      </c>
      <c r="K120" s="15"/>
      <c r="L120" s="15" t="n">
        <f aca="false">(K120-J120)*100/J120</f>
        <v>-100</v>
      </c>
      <c r="M120" s="15" t="n">
        <v>-22.9416176369218</v>
      </c>
      <c r="N120" s="15" t="n">
        <v>150</v>
      </c>
      <c r="O120" s="15"/>
      <c r="P120" s="12" t="s">
        <v>165</v>
      </c>
      <c r="Q120" s="12"/>
    </row>
    <row r="121" customFormat="false" ht="13.8" hidden="false" customHeight="false" outlineLevel="0" collapsed="false">
      <c r="A121" s="12" t="n">
        <v>1669</v>
      </c>
      <c r="B121" s="12" t="n">
        <v>13</v>
      </c>
      <c r="C121" s="13" t="s">
        <v>195</v>
      </c>
      <c r="D121" s="14" t="s">
        <v>98</v>
      </c>
      <c r="E121" s="13" t="s">
        <v>121</v>
      </c>
      <c r="F121" s="15" t="n">
        <v>13.9021493412616</v>
      </c>
      <c r="G121" s="15"/>
      <c r="H121" s="15" t="n">
        <f aca="false">(G121-F121)*100/F121</f>
        <v>-100</v>
      </c>
      <c r="I121" s="15"/>
      <c r="J121" s="15" t="n">
        <v>24.835</v>
      </c>
      <c r="K121" s="15"/>
      <c r="L121" s="15" t="n">
        <f aca="false">(K121-J121)*100/J121</f>
        <v>-100</v>
      </c>
      <c r="M121" s="15" t="n">
        <v>-10.9328506587385</v>
      </c>
      <c r="N121" s="15" t="n">
        <v>179</v>
      </c>
      <c r="O121" s="15"/>
      <c r="P121" s="12" t="s">
        <v>165</v>
      </c>
      <c r="Q121" s="12"/>
    </row>
    <row r="122" customFormat="false" ht="13.8" hidden="false" customHeight="false" outlineLevel="0" collapsed="false">
      <c r="A122" s="12" t="n">
        <v>1671</v>
      </c>
      <c r="B122" s="12" t="n">
        <v>27</v>
      </c>
      <c r="C122" s="13" t="s">
        <v>196</v>
      </c>
      <c r="D122" s="14" t="s">
        <v>98</v>
      </c>
      <c r="E122" s="13" t="s">
        <v>121</v>
      </c>
      <c r="F122" s="15" t="n">
        <v>8.66210843570912</v>
      </c>
      <c r="G122" s="15"/>
      <c r="H122" s="15" t="n">
        <f aca="false">(G122-F122)*100/F122</f>
        <v>-100</v>
      </c>
      <c r="I122" s="15"/>
      <c r="J122" s="15" t="n">
        <v>10.8075</v>
      </c>
      <c r="K122" s="15"/>
      <c r="L122" s="15" t="n">
        <f aca="false">(K122-J122)*100/J122</f>
        <v>-100</v>
      </c>
      <c r="M122" s="15" t="n">
        <v>-2.14539156429088</v>
      </c>
      <c r="N122" s="15" t="n">
        <v>125</v>
      </c>
      <c r="O122" s="15"/>
      <c r="P122" s="12" t="s">
        <v>165</v>
      </c>
      <c r="Q122" s="12"/>
    </row>
    <row r="123" customFormat="false" ht="13.8" hidden="false" customHeight="false" outlineLevel="0" collapsed="false">
      <c r="A123" s="12" t="n">
        <v>1875</v>
      </c>
      <c r="B123" s="12" t="n">
        <v>16</v>
      </c>
      <c r="C123" s="13" t="s">
        <v>197</v>
      </c>
      <c r="D123" s="14" t="s">
        <v>88</v>
      </c>
      <c r="E123" s="13" t="s">
        <v>121</v>
      </c>
      <c r="F123" s="15" t="n">
        <v>23.740593490462</v>
      </c>
      <c r="G123" s="15"/>
      <c r="H123" s="15" t="n">
        <f aca="false">(G123-F123)*100/F123</f>
        <v>-100</v>
      </c>
      <c r="I123" s="15"/>
      <c r="J123" s="15" t="n">
        <v>50.3575</v>
      </c>
      <c r="K123" s="15"/>
      <c r="L123" s="15" t="n">
        <f aca="false">(K123-J123)*100/J123</f>
        <v>-100</v>
      </c>
      <c r="M123" s="15" t="n">
        <v>-26.616906509538</v>
      </c>
      <c r="N123" s="15" t="n">
        <v>212</v>
      </c>
      <c r="O123" s="15"/>
      <c r="P123" s="12" t="s">
        <v>165</v>
      </c>
      <c r="Q123" s="12"/>
    </row>
    <row r="124" customFormat="false" ht="13.8" hidden="false" customHeight="false" outlineLevel="0" collapsed="false">
      <c r="A124" s="12" t="n">
        <v>2871</v>
      </c>
      <c r="B124" s="12" t="n">
        <v>13</v>
      </c>
      <c r="C124" s="13" t="s">
        <v>198</v>
      </c>
      <c r="D124" s="14" t="s">
        <v>130</v>
      </c>
      <c r="E124" s="13" t="s">
        <v>127</v>
      </c>
      <c r="F124" s="15" t="n">
        <v>46.3322211493203</v>
      </c>
      <c r="G124" s="15"/>
      <c r="H124" s="15" t="n">
        <f aca="false">(G124-F124)*100/F124</f>
        <v>-100</v>
      </c>
      <c r="I124" s="15"/>
      <c r="J124" s="15" t="n">
        <v>67.96</v>
      </c>
      <c r="K124" s="15"/>
      <c r="L124" s="15" t="n">
        <f aca="false">(K124-J124)*100/J124</f>
        <v>-100</v>
      </c>
      <c r="M124" s="15" t="n">
        <v>-21.6277788506797</v>
      </c>
      <c r="N124" s="15" t="n">
        <v>147</v>
      </c>
      <c r="O124" s="15"/>
      <c r="P124" s="12" t="s">
        <v>165</v>
      </c>
      <c r="Q124" s="12"/>
    </row>
    <row r="125" customFormat="false" ht="13.8" hidden="false" customHeight="false" outlineLevel="0" collapsed="false">
      <c r="A125" s="12" t="n">
        <v>1431</v>
      </c>
      <c r="B125" s="12" t="n">
        <v>36</v>
      </c>
      <c r="C125" s="13" t="s">
        <v>199</v>
      </c>
      <c r="D125" s="14" t="s">
        <v>200</v>
      </c>
      <c r="E125" s="13" t="s">
        <v>136</v>
      </c>
      <c r="F125" s="15" t="n">
        <v>59.092667418282</v>
      </c>
      <c r="G125" s="15"/>
      <c r="H125" s="15" t="n">
        <f aca="false">(G125-F125)*100/F125</f>
        <v>-100</v>
      </c>
      <c r="I125" s="15"/>
      <c r="J125" s="15" t="n">
        <v>87.314</v>
      </c>
      <c r="K125" s="15"/>
      <c r="L125" s="15" t="n">
        <f aca="false">(K125-J125)*100/J125</f>
        <v>-100</v>
      </c>
      <c r="M125" s="15" t="n">
        <v>-28.2213325817181</v>
      </c>
      <c r="N125" s="15" t="n">
        <v>148</v>
      </c>
      <c r="O125" s="15"/>
      <c r="P125" s="12" t="s">
        <v>165</v>
      </c>
      <c r="Q125" s="12"/>
    </row>
  </sheetData>
  <autoFilter ref="A1:Q125"/>
  <mergeCells count="1">
    <mergeCell ref="I16:I2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2018-01-06T02:25:38Z</dcterms:created>
  <dc:creator>kompella_sastry</dc:creator>
  <dc:language>en-IN</dc:language>
  <cp:lastModifiedBy>kompella_sastry</cp:lastModifiedBy>
  <dcterms:modified xsi:type="dcterms:W3CDTF">2018-01-06T02:30:35Z</dcterms:modified>
  <cp:revision>0</cp:revision>
</cp:coreProperties>
</file>