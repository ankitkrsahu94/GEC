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N59" i="1"/>
  <c r="Q39"/>
  <c r="N39"/>
  <c r="Q38"/>
  <c r="N38"/>
  <c r="Q37"/>
  <c r="N37"/>
  <c r="Q36"/>
  <c r="N36"/>
  <c r="Q35"/>
  <c r="N35"/>
  <c r="Q34"/>
  <c r="N34"/>
  <c r="Q33"/>
  <c r="N33"/>
  <c r="Q32"/>
  <c r="N32"/>
  <c r="Q31"/>
  <c r="N31"/>
  <c r="Q30"/>
  <c r="N30"/>
  <c r="Q29"/>
  <c r="N29"/>
  <c r="Q28"/>
  <c r="N28"/>
  <c r="Q27"/>
  <c r="N27"/>
  <c r="Q26"/>
  <c r="N26"/>
  <c r="Q25"/>
  <c r="N25"/>
  <c r="Q24"/>
  <c r="N24"/>
  <c r="Q23"/>
  <c r="N23"/>
  <c r="Q22"/>
  <c r="N22"/>
  <c r="Q21"/>
  <c r="N21"/>
  <c r="Q20"/>
  <c r="N20"/>
  <c r="Q19"/>
  <c r="N19"/>
  <c r="Q18"/>
  <c r="N18"/>
  <c r="Q17"/>
  <c r="N17"/>
  <c r="Q16"/>
  <c r="N16"/>
  <c r="Q15"/>
  <c r="N15"/>
  <c r="Q14"/>
  <c r="N14"/>
  <c r="Q13"/>
  <c r="N13"/>
  <c r="Q12"/>
  <c r="N12"/>
  <c r="Q11"/>
  <c r="N11"/>
  <c r="Q10"/>
  <c r="N10"/>
  <c r="Q9"/>
  <c r="N9"/>
  <c r="Q8"/>
  <c r="N8"/>
  <c r="Q7"/>
  <c r="N7"/>
  <c r="Q6"/>
  <c r="N6"/>
  <c r="Q5"/>
  <c r="N5"/>
  <c r="Q4"/>
  <c r="N4"/>
  <c r="Q3"/>
  <c r="N3"/>
  <c r="Q2"/>
  <c r="N2"/>
</calcChain>
</file>

<file path=xl/sharedStrings.xml><?xml version="1.0" encoding="utf-8"?>
<sst xmlns="http://schemas.openxmlformats.org/spreadsheetml/2006/main" count="147" uniqueCount="143">
  <si>
    <t>S.no</t>
  </si>
  <si>
    <t>Normal annual rainfall mm</t>
  </si>
  <si>
    <t>Normal Monsoon rainfall mm</t>
  </si>
  <si>
    <t>Normal Non-monsoon rainfall mm</t>
  </si>
  <si>
    <t>Annual rainfall for the year of assessment mm</t>
  </si>
  <si>
    <t>Monsoon rainfall for the year of assessment mm</t>
  </si>
  <si>
    <t>Non-monsoon rainfall for the year of assessment mm</t>
  </si>
  <si>
    <t>GW watershed  name</t>
  </si>
  <si>
    <t xml:space="preserve">NCA pre monsoon depth to water level </t>
  </si>
  <si>
    <t>NCA post monsoon depth to water level</t>
  </si>
  <si>
    <t xml:space="preserve">CA pre monsoon depth to water level </t>
  </si>
  <si>
    <t>CA post monsoon depth to water level</t>
  </si>
  <si>
    <t>IWM Micro basin</t>
  </si>
  <si>
    <t>Dependancy factor nca</t>
  </si>
  <si>
    <t>Dependancy factor ca</t>
  </si>
  <si>
    <t>GNT-D-50-Munigundla-Vijayapuri South</t>
  </si>
  <si>
    <t>GNT_C_54_Amarthaluru</t>
  </si>
  <si>
    <t>GNT_C_54_Bhattiprollu</t>
  </si>
  <si>
    <t>GNT-C-54-Cherukupalli</t>
  </si>
  <si>
    <t>GNT-C-54-Duggirala</t>
  </si>
  <si>
    <t>GNT-C-54-Karlapalem</t>
  </si>
  <si>
    <t>GNT-C-54-Kollipara</t>
  </si>
  <si>
    <t>GNT-C-54-Kolluru</t>
  </si>
  <si>
    <t>GNT-C-54-Nagaram</t>
  </si>
  <si>
    <t>GNT-C-54-Nizampatnam</t>
  </si>
  <si>
    <t>GNT-C-54-Ponnuru</t>
  </si>
  <si>
    <t>GNT-C-54-P.V.Palem</t>
  </si>
  <si>
    <t>GNT-C-54-Repalle</t>
  </si>
  <si>
    <t>GNT-C-54-Tenali</t>
  </si>
  <si>
    <t>GNT-C-54-Tsunduru</t>
  </si>
  <si>
    <t>GNT-C-54-Vemuru</t>
  </si>
  <si>
    <t>GNT-C-55-Boddu-Velpuru</t>
  </si>
  <si>
    <t>GNT-C-55-Isuka-2-Kondaveedu</t>
  </si>
  <si>
    <t>GNT-C-55-Konda-Vatticherukuru</t>
  </si>
  <si>
    <t>GNT-C-55-Nakka-Muppalla</t>
  </si>
  <si>
    <t>GNT-C-55-Nalanda-Narasaraopet</t>
  </si>
  <si>
    <t>GNT-C-55-Nallama-Pedanandipadu</t>
  </si>
  <si>
    <t>GNT-C-55-Pedda-2-Mangalagiri</t>
  </si>
  <si>
    <t>GNT-C-55-Rama-Prathipadu</t>
  </si>
  <si>
    <t>GNT-C-55-Tummala-Edlapadu</t>
  </si>
  <si>
    <t>GNT-C-55-Ura-Rompicherla</t>
  </si>
  <si>
    <t>GNT-C-55-Vogeru-Chilakaluripet_Part-Ongole</t>
  </si>
  <si>
    <t>GNT-C-57-Anga-Angalur</t>
  </si>
  <si>
    <t>GNT-C-57-Cheja-Chejerla</t>
  </si>
  <si>
    <t>GNT-C-57-Gundla-1-Nuzendla-Part_Ongole</t>
  </si>
  <si>
    <t>GNT-C-57-Gundla-2-Thimmapuram-Part_Ongole</t>
  </si>
  <si>
    <t>GNT-C-57-Kandaleru-1-Bollapalli-Part_Ongole</t>
  </si>
  <si>
    <t>GNT-C-57-Kandaleru-2-Vinukonda_Part-Ongole</t>
  </si>
  <si>
    <t>GNT-C-57-Konkeru-Savalyapuram</t>
  </si>
  <si>
    <t>GNT-C-57-Pasupuleru-Vellaturu</t>
  </si>
  <si>
    <t>GNT-C-57-Vola-Tangirala</t>
  </si>
  <si>
    <t>GNT-D-50-Atcham.-Atchampeta</t>
  </si>
  <si>
    <t>GNT-D-50-Challa-Challagundla</t>
  </si>
  <si>
    <t>GNT-D-50-Dandi-Gurajala</t>
  </si>
  <si>
    <t>GNT-D-50-Eddu-Amaravathi</t>
  </si>
  <si>
    <t>GNT-D-50-Edumangal-Rentachintala</t>
  </si>
  <si>
    <t>GNT-D-50-Erra-2-Piduguralla</t>
  </si>
  <si>
    <t>GNT-D-50-Erra-1-Rajupalem</t>
  </si>
  <si>
    <t>GNT-D-50-Gadida-Daida</t>
  </si>
  <si>
    <t>GNT-D-50-Goli-Thumurukota</t>
  </si>
  <si>
    <t>GNT-D-50-Julakallu-Kesanapalli</t>
  </si>
  <si>
    <t>GNT-D-50-Kattela-Thulluru</t>
  </si>
  <si>
    <t>GNT-D-50-Kondaveeti-Medikonduru</t>
  </si>
  <si>
    <t>GNT-D-50-Lakshmi-Panidam</t>
  </si>
  <si>
    <t>GNT-D-50-Macherla-Macherrla</t>
  </si>
  <si>
    <t>GNT-D-50 Mada-Pedakurapadu</t>
  </si>
  <si>
    <t>GNT-D-50-Nagarjuna-Macherla</t>
  </si>
  <si>
    <t>GNT-D-50-Naguleru-Dachepalle</t>
  </si>
  <si>
    <t>GNT-D-50-Narasing-Narasingapadu</t>
  </si>
  <si>
    <t>GNT-D-50-Pedda-1-Guntur</t>
  </si>
  <si>
    <t>GNT-D-50-Ralla-Machavaram</t>
  </si>
  <si>
    <t>GNT-D-50- Voppi-Voppicherla</t>
  </si>
  <si>
    <t>GNT_C_54_Bapatla</t>
  </si>
  <si>
    <t>GNT-D-50-Chandra-Mutukur</t>
  </si>
  <si>
    <t>GNT-D-50-Chintala-Taduvoy</t>
  </si>
  <si>
    <t>GNT-D-50-Jakkulagundam</t>
  </si>
  <si>
    <t>GNT-D-50-Jerri-Sirigiripadu</t>
  </si>
  <si>
    <t>GNT-D-50-Remidicherla</t>
  </si>
  <si>
    <t>GNT-D-50- REMIDI-REMIDICHERLA-MB</t>
  </si>
  <si>
    <t>GNT-D-50- MUNIGUNDLA-VIJAYAPURISOUTH-MB</t>
  </si>
  <si>
    <t>GNT-D-50- JERRI-SIRIGIRIPADU-MB</t>
  </si>
  <si>
    <t>GNT-D-50- JAKKULAGUNDAM-MB</t>
  </si>
  <si>
    <t>GNT-D-50- CHINTA-TADUVOYA-MB</t>
  </si>
  <si>
    <t>GNT-D-50- CHANDRA-MUTUKURU-MB</t>
  </si>
  <si>
    <t>GNT-D-50- VOPHI-VOPICHERLA-MB</t>
  </si>
  <si>
    <t>GNT-D-50- RALLA-MACHAVARAM-MB</t>
  </si>
  <si>
    <t>GNT-D-50-PEDD-1-GUNTUR-MB</t>
  </si>
  <si>
    <t>GNT-D-50-NARASING-NARISINGAPADU-MB</t>
  </si>
  <si>
    <t>GNT-D-50- NAGULERU-DACHAPALLI-MB</t>
  </si>
  <si>
    <t>GNT-D-50-NAGARJUNA-MACHERLA-MB</t>
  </si>
  <si>
    <t>GNT-D-50-MADDA-PEDAKURAPADU-MB</t>
  </si>
  <si>
    <t>GNT-D-50-MACHERLA-MACHRLA-MB</t>
  </si>
  <si>
    <t>GNT-D-50-LAKSHMI-PANIDAM-MB</t>
  </si>
  <si>
    <t>GNT-D-50-KONDAVEETI-MEDIKONDURU-MB</t>
  </si>
  <si>
    <t>GNT-D-50-KATTELA-THULLURU-MB</t>
  </si>
  <si>
    <t>GNT-D-50-ZULAKALLU-KESANAPALLI-MB</t>
  </si>
  <si>
    <t>GNT-D-50- GOLI-THUMURKOTA-MB</t>
  </si>
  <si>
    <t>GNT-D-50- GADIDA-DAIDA-MB</t>
  </si>
  <si>
    <t>GNT-D-50-ERRA-1-RAJUPALEM-MB</t>
  </si>
  <si>
    <t>GNT-D-50- ERRA-2-PIDUGURALLA-MB</t>
  </si>
  <si>
    <t>GNT-D-50-EDUMANGAL-RENTACHINTALA-MB</t>
  </si>
  <si>
    <t>GNT-D-50-EDDU-AMARAVATHI-MB</t>
  </si>
  <si>
    <t>GNT-D-50-DANDI-GURAJALA-MB</t>
  </si>
  <si>
    <t>GNT-D-50-CHALLA-CHALLAGUNDLA-MB</t>
  </si>
  <si>
    <t>GNT-D-50- ATCHAM-ATCHAMPETA-MB</t>
  </si>
  <si>
    <t>GNT-C-57-VOLA-TANGIRALA-MB</t>
  </si>
  <si>
    <t>GNT-C-57-PASUPU-VELLATURU-MB</t>
  </si>
  <si>
    <t>GNT-C-57-KONKER-SAVALYAPURAM-MB</t>
  </si>
  <si>
    <t>GNT-C-57-KADLERU-2-VINUKONDA_PART-ONGOLE-MB</t>
  </si>
  <si>
    <t>GNT-C-57-KANDLERU-1-BOLLAPALLI-PART_ONGOL-MB</t>
  </si>
  <si>
    <t>GNT-C-57-GUNDLA-2-THIMMAPURAM-PART_ONGOLE-MB</t>
  </si>
  <si>
    <t>GNT-C-57-GUNDLA-1-NUJENDLA-PART_ONGOLE-MB</t>
  </si>
  <si>
    <t>GNT-C-57-CHEJA-CHEJARLA-MB</t>
  </si>
  <si>
    <t>GNT-C-57-ANGA-ANGALUR-MB</t>
  </si>
  <si>
    <t>GNT-C-55-VOGERU-CHILAKALURIPET_PART-ONGO-MB</t>
  </si>
  <si>
    <t>GNT-C-55-URA-ROMPICHERLA-MB</t>
  </si>
  <si>
    <t>GNT-C-55-TUMMALA-EDLAPADU-MB</t>
  </si>
  <si>
    <t>GNT-C-55-RAMA-PRTHIPADU-MB</t>
  </si>
  <si>
    <t>GNT-C-55-PEDDA-2-MANGALAGIRI-MB</t>
  </si>
  <si>
    <t>GNT-C-55-NALLAMA-PEDANANDIPADU-MB</t>
  </si>
  <si>
    <t>GNT-C-55-NALANDA-NARASARAOPET-MB</t>
  </si>
  <si>
    <t>GNT-C-55-NAKKA-MUPPALLA-MB</t>
  </si>
  <si>
    <t>GNT-C-55-KONDA-VATTICHERUKURU-MB</t>
  </si>
  <si>
    <t>GNT-C-55-ISSUKA-2-KONDAVEEDU-MB</t>
  </si>
  <si>
    <t>GNT-C-55-BODDU-VELPUR-MB</t>
  </si>
  <si>
    <t>GNT-C-54-VEMURU-MB</t>
  </si>
  <si>
    <t>GNT-C-54-TSUNDURU-MB</t>
  </si>
  <si>
    <t>GNT-C-54-TENALI-MB</t>
  </si>
  <si>
    <t>GNT-C-54-REPALLI-MB</t>
  </si>
  <si>
    <t>GNT-C-54-P.V.PALEM-MB</t>
  </si>
  <si>
    <t>GNT-C-54-PONNURU-MB</t>
  </si>
  <si>
    <t>GNT-C-54-NIZAMPATNAM-MB</t>
  </si>
  <si>
    <t>GNT-C-54-NAGARAM-MB</t>
  </si>
  <si>
    <t>GNT-C-54-KOLLURU-MB</t>
  </si>
  <si>
    <t>GNT-C-54-KOLLIPARA-MB</t>
  </si>
  <si>
    <t>GNT-C-54-KARLAPAEM-MB</t>
  </si>
  <si>
    <t>GNT-C-54-DUGGIRALA-MB</t>
  </si>
  <si>
    <t>GNT-C-54-CHERUKUPALLI-MB</t>
  </si>
  <si>
    <t>GNT-C-54-BHATTIPROLLU-MB</t>
  </si>
  <si>
    <t>GNT-C-54-BAPATLA-MB</t>
  </si>
  <si>
    <t>GNT-C-54-AMARTHALURU-MB</t>
  </si>
  <si>
    <t>GNT-D-50-Isuka-1-Krosur</t>
  </si>
  <si>
    <t>GNT-D-50-ISUKA-1-KROSUR-MB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</si>
</sst>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16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2"/>
      <color indexed="16"/>
      <name val="Arial"/>
      <family val="2"/>
    </font>
    <font>
      <b/>
      <sz val="12"/>
      <color indexed="60"/>
      <name val="Arial"/>
      <family val="2"/>
    </font>
    <font>
      <b/>
      <sz val="11"/>
      <name val="Arial"/>
      <family val="2"/>
    </font>
    <font>
      <sz val="10"/>
      <color indexed="16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1" xfId="0" applyNumberFormat="1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4" borderId="1" xfId="0" applyFont="1" applyFill="1" applyBorder="1" applyAlignment="1"/>
    <xf numFmtId="0" fontId="0" fillId="4" borderId="1" xfId="0" applyFill="1" applyBorder="1"/>
    <xf numFmtId="1" fontId="4" fillId="0" borderId="1" xfId="0" applyNumberFormat="1" applyFont="1" applyFill="1" applyBorder="1" applyAlignment="1"/>
    <xf numFmtId="1" fontId="10" fillId="0" borderId="1" xfId="0" applyNumberFormat="1" applyFont="1" applyFill="1" applyBorder="1" applyAlignment="1"/>
    <xf numFmtId="0" fontId="0" fillId="0" borderId="1" xfId="0" applyBorder="1"/>
    <xf numFmtId="1" fontId="4" fillId="2" borderId="1" xfId="0" applyNumberFormat="1" applyFont="1" applyFill="1" applyBorder="1" applyAlignment="1"/>
    <xf numFmtId="1" fontId="4" fillId="3" borderId="1" xfId="0" applyNumberFormat="1" applyFont="1" applyFill="1" applyBorder="1" applyAlignment="1"/>
    <xf numFmtId="1" fontId="10" fillId="3" borderId="1" xfId="0" applyNumberFormat="1" applyFont="1" applyFill="1" applyBorder="1" applyAlignment="1"/>
    <xf numFmtId="0" fontId="0" fillId="3" borderId="1" xfId="0" applyFill="1" applyBorder="1"/>
    <xf numFmtId="164" fontId="0" fillId="2" borderId="1" xfId="0" applyNumberFormat="1" applyFont="1" applyFill="1" applyBorder="1"/>
    <xf numFmtId="164" fontId="9" fillId="0" borderId="1" xfId="0" applyNumberFormat="1" applyFont="1" applyFill="1" applyBorder="1" applyAlignment="1"/>
    <xf numFmtId="164" fontId="9" fillId="3" borderId="1" xfId="0" applyNumberFormat="1" applyFont="1" applyFill="1" applyBorder="1" applyAlignment="1"/>
    <xf numFmtId="0" fontId="0" fillId="2" borderId="1" xfId="0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topLeftCell="A52" workbookViewId="0">
      <selection activeCell="M65" sqref="M65"/>
    </sheetView>
  </sheetViews>
  <sheetFormatPr defaultColWidth="22.7109375" defaultRowHeight="15"/>
  <cols>
    <col min="1" max="1" width="4.5703125" style="5" customWidth="1"/>
    <col min="2" max="2" width="26" style="5" customWidth="1"/>
    <col min="3" max="3" width="39.5703125" style="5" customWidth="1"/>
    <col min="4" max="4" width="8.7109375" style="17" customWidth="1"/>
    <col min="5" max="5" width="6.85546875" style="5" customWidth="1"/>
    <col min="6" max="7" width="8.85546875" style="5" customWidth="1"/>
    <col min="8" max="8" width="10.28515625" style="5" customWidth="1"/>
    <col min="9" max="9" width="9.140625" style="5" customWidth="1"/>
    <col min="10" max="11" width="11.140625" style="5" customWidth="1"/>
    <col min="12" max="13" width="7.42578125" style="5" customWidth="1"/>
    <col min="14" max="19" width="22.7109375" style="20"/>
    <col min="20" max="16384" width="22.7109375" style="5"/>
  </cols>
  <sheetData>
    <row r="1" spans="1:19">
      <c r="A1" s="5" t="s">
        <v>0</v>
      </c>
      <c r="B1" s="6" t="s">
        <v>7</v>
      </c>
      <c r="C1" s="5" t="s">
        <v>12</v>
      </c>
      <c r="D1" s="17" t="s">
        <v>8</v>
      </c>
      <c r="E1" s="5" t="s">
        <v>9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10</v>
      </c>
      <c r="K1" s="5" t="s">
        <v>11</v>
      </c>
      <c r="L1" s="5" t="s">
        <v>13</v>
      </c>
      <c r="M1" s="5" t="s">
        <v>14</v>
      </c>
      <c r="N1" s="20" t="s">
        <v>1</v>
      </c>
      <c r="O1" s="20" t="s">
        <v>2</v>
      </c>
      <c r="P1" s="20" t="s">
        <v>3</v>
      </c>
      <c r="Q1" s="20" t="s">
        <v>4</v>
      </c>
      <c r="R1" s="20" t="s">
        <v>5</v>
      </c>
      <c r="S1" s="20" t="s">
        <v>6</v>
      </c>
    </row>
    <row r="2" spans="1:19">
      <c r="A2" s="7">
        <v>1</v>
      </c>
      <c r="B2" s="14" t="s">
        <v>16</v>
      </c>
      <c r="C2" s="15" t="s">
        <v>140</v>
      </c>
      <c r="D2" s="19">
        <v>0</v>
      </c>
      <c r="E2" s="16">
        <v>0</v>
      </c>
      <c r="F2" s="16">
        <v>0</v>
      </c>
      <c r="G2" s="16"/>
      <c r="H2" s="5">
        <v>3.98</v>
      </c>
      <c r="I2" s="5">
        <v>1.43</v>
      </c>
      <c r="J2" s="5">
        <v>4.38</v>
      </c>
      <c r="K2" s="5">
        <v>1.17</v>
      </c>
      <c r="L2" s="5">
        <v>0.7</v>
      </c>
      <c r="M2" s="5">
        <v>0.7</v>
      </c>
      <c r="N2" s="1">
        <f t="shared" ref="N2:N38" si="0">O2+P2</f>
        <v>900</v>
      </c>
      <c r="O2" s="2">
        <v>536</v>
      </c>
      <c r="P2" s="3">
        <v>364</v>
      </c>
      <c r="Q2" s="1">
        <f t="shared" ref="Q2:Q39" si="1">R2+S2</f>
        <v>1024</v>
      </c>
      <c r="R2" s="3">
        <v>575</v>
      </c>
      <c r="S2" s="2">
        <v>449</v>
      </c>
    </row>
    <row r="3" spans="1:19">
      <c r="A3" s="7">
        <v>2</v>
      </c>
      <c r="B3" s="14" t="s">
        <v>72</v>
      </c>
      <c r="C3" s="15" t="s">
        <v>139</v>
      </c>
      <c r="D3" s="19">
        <v>0</v>
      </c>
      <c r="E3" s="16">
        <v>0</v>
      </c>
      <c r="F3" s="16">
        <v>0</v>
      </c>
      <c r="G3" s="16"/>
      <c r="H3" s="5">
        <v>2.84</v>
      </c>
      <c r="I3" s="5">
        <v>1.89</v>
      </c>
      <c r="J3" s="5">
        <v>2.81</v>
      </c>
      <c r="L3" s="5">
        <v>0.9</v>
      </c>
      <c r="M3" s="5">
        <v>0.9</v>
      </c>
      <c r="N3" s="1">
        <f t="shared" si="0"/>
        <v>988</v>
      </c>
      <c r="O3" s="2">
        <v>519</v>
      </c>
      <c r="P3" s="3">
        <v>469</v>
      </c>
      <c r="Q3" s="1">
        <f t="shared" si="1"/>
        <v>1388</v>
      </c>
      <c r="R3" s="3">
        <v>668</v>
      </c>
      <c r="S3" s="2">
        <v>720</v>
      </c>
    </row>
    <row r="4" spans="1:19">
      <c r="A4" s="7">
        <v>3</v>
      </c>
      <c r="B4" s="14" t="s">
        <v>17</v>
      </c>
      <c r="C4" s="15" t="s">
        <v>138</v>
      </c>
      <c r="D4" s="19">
        <v>0</v>
      </c>
      <c r="E4" s="16">
        <v>0</v>
      </c>
      <c r="F4" s="16">
        <v>0</v>
      </c>
      <c r="G4" s="16"/>
      <c r="H4" s="5">
        <v>2.79</v>
      </c>
      <c r="I4" s="5">
        <v>1.1299999999999999</v>
      </c>
      <c r="J4" s="5">
        <v>2.46</v>
      </c>
      <c r="L4" s="5">
        <v>0.8</v>
      </c>
      <c r="M4" s="5">
        <v>0.8</v>
      </c>
      <c r="N4" s="1">
        <f t="shared" si="0"/>
        <v>1061</v>
      </c>
      <c r="O4" s="2">
        <v>592</v>
      </c>
      <c r="P4" s="3">
        <v>469</v>
      </c>
      <c r="Q4" s="1">
        <f t="shared" si="1"/>
        <v>1017</v>
      </c>
      <c r="R4" s="3">
        <v>542</v>
      </c>
      <c r="S4" s="2">
        <v>475</v>
      </c>
    </row>
    <row r="5" spans="1:19">
      <c r="A5" s="7">
        <v>4</v>
      </c>
      <c r="B5" s="14" t="s">
        <v>18</v>
      </c>
      <c r="C5" s="15" t="s">
        <v>137</v>
      </c>
      <c r="D5" s="19">
        <v>0</v>
      </c>
      <c r="E5" s="16">
        <v>0</v>
      </c>
      <c r="F5" s="16">
        <v>0</v>
      </c>
      <c r="G5" s="16"/>
      <c r="H5" s="5">
        <v>2.66</v>
      </c>
      <c r="I5" s="5">
        <v>1.31</v>
      </c>
      <c r="J5" s="5">
        <v>2.88</v>
      </c>
      <c r="L5" s="5">
        <v>0.8</v>
      </c>
      <c r="M5" s="5">
        <v>0.8</v>
      </c>
      <c r="N5" s="1">
        <f t="shared" si="0"/>
        <v>875</v>
      </c>
      <c r="O5" s="2">
        <v>509</v>
      </c>
      <c r="P5" s="3">
        <v>366</v>
      </c>
      <c r="Q5" s="1">
        <f t="shared" si="1"/>
        <v>973</v>
      </c>
      <c r="R5" s="3">
        <v>527</v>
      </c>
      <c r="S5" s="2">
        <v>446</v>
      </c>
    </row>
    <row r="6" spans="1:19">
      <c r="A6" s="7">
        <v>5</v>
      </c>
      <c r="B6" s="14" t="s">
        <v>19</v>
      </c>
      <c r="C6" s="15" t="s">
        <v>136</v>
      </c>
      <c r="D6" s="19">
        <v>0</v>
      </c>
      <c r="E6" s="16">
        <v>0</v>
      </c>
      <c r="F6" s="16">
        <v>0</v>
      </c>
      <c r="G6" s="16"/>
      <c r="H6" s="5">
        <v>3.13</v>
      </c>
      <c r="I6" s="5">
        <v>0.83</v>
      </c>
      <c r="J6" s="5">
        <v>3.2</v>
      </c>
      <c r="L6" s="5">
        <v>1</v>
      </c>
      <c r="M6" s="5">
        <v>1</v>
      </c>
      <c r="N6" s="1">
        <f t="shared" si="0"/>
        <v>897</v>
      </c>
      <c r="O6" s="2">
        <v>615</v>
      </c>
      <c r="P6" s="3">
        <v>282</v>
      </c>
      <c r="Q6" s="1">
        <f t="shared" si="1"/>
        <v>1173</v>
      </c>
      <c r="R6" s="3">
        <v>728</v>
      </c>
      <c r="S6" s="2">
        <v>445</v>
      </c>
    </row>
    <row r="7" spans="1:19">
      <c r="A7" s="7">
        <v>6</v>
      </c>
      <c r="B7" s="14" t="s">
        <v>20</v>
      </c>
      <c r="C7" s="15" t="s">
        <v>135</v>
      </c>
      <c r="D7" s="19">
        <v>0</v>
      </c>
      <c r="E7" s="16">
        <v>0</v>
      </c>
      <c r="F7" s="16">
        <v>0</v>
      </c>
      <c r="G7" s="16"/>
      <c r="H7" s="5">
        <v>3.02</v>
      </c>
      <c r="I7" s="5">
        <v>2.02</v>
      </c>
      <c r="J7" s="5">
        <v>3.11</v>
      </c>
      <c r="L7" s="5">
        <v>0.8</v>
      </c>
      <c r="M7" s="5">
        <v>0.8</v>
      </c>
      <c r="N7" s="1">
        <f t="shared" si="0"/>
        <v>1014</v>
      </c>
      <c r="O7" s="2">
        <v>526</v>
      </c>
      <c r="P7" s="3">
        <v>488</v>
      </c>
      <c r="Q7" s="1">
        <f t="shared" si="1"/>
        <v>1023</v>
      </c>
      <c r="R7" s="3">
        <v>576</v>
      </c>
      <c r="S7" s="2">
        <v>447</v>
      </c>
    </row>
    <row r="8" spans="1:19">
      <c r="A8" s="7">
        <v>7</v>
      </c>
      <c r="B8" s="14" t="s">
        <v>21</v>
      </c>
      <c r="C8" s="15" t="s">
        <v>134</v>
      </c>
      <c r="D8" s="19">
        <v>0</v>
      </c>
      <c r="E8" s="16">
        <v>0</v>
      </c>
      <c r="F8" s="16">
        <v>0</v>
      </c>
      <c r="G8" s="16"/>
      <c r="H8" s="5">
        <v>3.1</v>
      </c>
      <c r="I8" s="5">
        <v>1.46</v>
      </c>
      <c r="J8" s="5">
        <v>2.36</v>
      </c>
      <c r="L8" s="5">
        <v>1</v>
      </c>
      <c r="M8" s="5">
        <v>1</v>
      </c>
      <c r="N8" s="1">
        <f t="shared" si="0"/>
        <v>851</v>
      </c>
      <c r="O8" s="2">
        <v>558</v>
      </c>
      <c r="P8" s="3">
        <v>293</v>
      </c>
      <c r="Q8" s="1">
        <f t="shared" si="1"/>
        <v>1280</v>
      </c>
      <c r="R8" s="3">
        <v>768</v>
      </c>
      <c r="S8" s="2">
        <v>512</v>
      </c>
    </row>
    <row r="9" spans="1:19">
      <c r="A9" s="7">
        <v>8</v>
      </c>
      <c r="B9" s="14" t="s">
        <v>22</v>
      </c>
      <c r="C9" s="15" t="s">
        <v>133</v>
      </c>
      <c r="D9" s="19">
        <v>0</v>
      </c>
      <c r="E9" s="16">
        <v>0</v>
      </c>
      <c r="F9" s="16">
        <v>0</v>
      </c>
      <c r="G9" s="16"/>
      <c r="H9" s="5">
        <v>5.58</v>
      </c>
      <c r="I9" s="5">
        <v>2.62</v>
      </c>
      <c r="J9" s="5">
        <v>5.82</v>
      </c>
      <c r="L9" s="5">
        <v>1</v>
      </c>
      <c r="M9" s="5">
        <v>1</v>
      </c>
      <c r="N9" s="1">
        <f t="shared" si="0"/>
        <v>979</v>
      </c>
      <c r="O9" s="2">
        <v>626</v>
      </c>
      <c r="P9" s="3">
        <v>353</v>
      </c>
      <c r="Q9" s="1">
        <f t="shared" si="1"/>
        <v>1257</v>
      </c>
      <c r="R9" s="3">
        <v>737</v>
      </c>
      <c r="S9" s="2">
        <v>520</v>
      </c>
    </row>
    <row r="10" spans="1:19">
      <c r="A10" s="7">
        <v>9</v>
      </c>
      <c r="B10" s="14" t="s">
        <v>23</v>
      </c>
      <c r="C10" s="15" t="s">
        <v>132</v>
      </c>
      <c r="D10" s="19">
        <v>0</v>
      </c>
      <c r="E10" s="16">
        <v>0</v>
      </c>
      <c r="F10" s="16">
        <v>0</v>
      </c>
      <c r="G10" s="16"/>
      <c r="H10" s="5">
        <v>2.68</v>
      </c>
      <c r="I10" s="5">
        <v>1.31</v>
      </c>
      <c r="J10" s="5">
        <v>2.2999999999999998</v>
      </c>
      <c r="L10" s="5">
        <v>0.8</v>
      </c>
      <c r="M10" s="5">
        <v>0.8</v>
      </c>
      <c r="N10" s="1">
        <f t="shared" si="0"/>
        <v>1010</v>
      </c>
      <c r="O10" s="2">
        <v>564</v>
      </c>
      <c r="P10" s="3">
        <v>446</v>
      </c>
      <c r="Q10" s="1">
        <f t="shared" si="1"/>
        <v>1037</v>
      </c>
      <c r="R10" s="3">
        <v>594</v>
      </c>
      <c r="S10" s="2">
        <v>443</v>
      </c>
    </row>
    <row r="11" spans="1:19">
      <c r="A11" s="7">
        <v>10</v>
      </c>
      <c r="B11" s="14" t="s">
        <v>24</v>
      </c>
      <c r="C11" s="15" t="s">
        <v>131</v>
      </c>
      <c r="D11" s="19">
        <v>0</v>
      </c>
      <c r="E11" s="16">
        <v>0</v>
      </c>
      <c r="F11" s="16">
        <v>0</v>
      </c>
      <c r="G11" s="16"/>
      <c r="H11" s="5">
        <v>2.68</v>
      </c>
      <c r="I11" s="5">
        <v>1.31</v>
      </c>
      <c r="J11" s="5">
        <v>2.2999999999999998</v>
      </c>
      <c r="L11" s="5">
        <v>0.6</v>
      </c>
      <c r="M11" s="5">
        <v>0.6</v>
      </c>
      <c r="N11" s="1">
        <f t="shared" si="0"/>
        <v>1011</v>
      </c>
      <c r="O11" s="2">
        <v>530</v>
      </c>
      <c r="P11" s="3">
        <v>481</v>
      </c>
      <c r="Q11" s="1">
        <f t="shared" si="1"/>
        <v>873</v>
      </c>
      <c r="R11" s="3">
        <v>495</v>
      </c>
      <c r="S11" s="2">
        <v>378</v>
      </c>
    </row>
    <row r="12" spans="1:19">
      <c r="A12" s="7">
        <v>11</v>
      </c>
      <c r="B12" s="14" t="s">
        <v>25</v>
      </c>
      <c r="C12" s="15" t="s">
        <v>130</v>
      </c>
      <c r="D12" s="19">
        <v>0</v>
      </c>
      <c r="E12" s="16">
        <v>0</v>
      </c>
      <c r="F12" s="16">
        <v>0</v>
      </c>
      <c r="G12" s="16"/>
      <c r="H12" s="5">
        <v>3.71</v>
      </c>
      <c r="I12" s="5">
        <v>1.59</v>
      </c>
      <c r="J12" s="5">
        <v>4.01</v>
      </c>
      <c r="L12" s="5">
        <v>0.8</v>
      </c>
      <c r="M12" s="5">
        <v>0.8</v>
      </c>
      <c r="N12" s="1">
        <f t="shared" si="0"/>
        <v>871</v>
      </c>
      <c r="O12" s="2">
        <v>523</v>
      </c>
      <c r="P12" s="3">
        <v>348</v>
      </c>
      <c r="Q12" s="1">
        <f t="shared" si="1"/>
        <v>1166</v>
      </c>
      <c r="R12" s="3">
        <v>666</v>
      </c>
      <c r="S12" s="2">
        <v>500</v>
      </c>
    </row>
    <row r="13" spans="1:19">
      <c r="A13" s="7">
        <v>12</v>
      </c>
      <c r="B13" s="14" t="s">
        <v>26</v>
      </c>
      <c r="C13" s="15" t="s">
        <v>129</v>
      </c>
      <c r="D13" s="19">
        <v>0</v>
      </c>
      <c r="E13" s="16">
        <v>0</v>
      </c>
      <c r="F13" s="16">
        <v>0</v>
      </c>
      <c r="G13" s="16"/>
      <c r="H13" s="5">
        <v>2.46</v>
      </c>
      <c r="I13" s="5">
        <v>1.06</v>
      </c>
      <c r="J13" s="5">
        <v>2.59</v>
      </c>
      <c r="L13" s="5">
        <v>0.8</v>
      </c>
      <c r="M13" s="5">
        <v>0.8</v>
      </c>
      <c r="N13" s="1">
        <f t="shared" si="0"/>
        <v>925</v>
      </c>
      <c r="O13" s="2">
        <v>480</v>
      </c>
      <c r="P13" s="3">
        <v>445</v>
      </c>
      <c r="Q13" s="1">
        <f t="shared" si="1"/>
        <v>911</v>
      </c>
      <c r="R13" s="3">
        <v>524</v>
      </c>
      <c r="S13" s="2">
        <v>387</v>
      </c>
    </row>
    <row r="14" spans="1:19">
      <c r="A14" s="7">
        <v>13</v>
      </c>
      <c r="B14" s="14" t="s">
        <v>27</v>
      </c>
      <c r="C14" s="15" t="s">
        <v>128</v>
      </c>
      <c r="D14" s="19">
        <v>0</v>
      </c>
      <c r="E14" s="16">
        <v>0</v>
      </c>
      <c r="F14" s="16">
        <v>0</v>
      </c>
      <c r="G14" s="16"/>
      <c r="H14" s="5">
        <v>2.99</v>
      </c>
      <c r="I14" s="5">
        <v>2.12</v>
      </c>
      <c r="J14" s="5">
        <v>3.06</v>
      </c>
      <c r="L14" s="5">
        <v>0.8</v>
      </c>
      <c r="M14" s="5">
        <v>0.8</v>
      </c>
      <c r="N14" s="1">
        <f t="shared" si="0"/>
        <v>1047</v>
      </c>
      <c r="O14" s="2">
        <v>563</v>
      </c>
      <c r="P14" s="3">
        <v>484</v>
      </c>
      <c r="Q14" s="1">
        <f t="shared" si="1"/>
        <v>1126</v>
      </c>
      <c r="R14" s="3">
        <v>551</v>
      </c>
      <c r="S14" s="2">
        <v>575</v>
      </c>
    </row>
    <row r="15" spans="1:19">
      <c r="A15" s="7">
        <v>14</v>
      </c>
      <c r="B15" s="14" t="s">
        <v>28</v>
      </c>
      <c r="C15" s="15" t="s">
        <v>127</v>
      </c>
      <c r="D15" s="19">
        <v>0</v>
      </c>
      <c r="E15" s="16">
        <v>0</v>
      </c>
      <c r="F15" s="16">
        <v>0</v>
      </c>
      <c r="G15" s="16"/>
      <c r="H15" s="5">
        <v>2.0099999999999998</v>
      </c>
      <c r="I15" s="5">
        <v>0.81</v>
      </c>
      <c r="J15" s="5">
        <v>2.23</v>
      </c>
      <c r="L15" s="5">
        <v>1</v>
      </c>
      <c r="M15" s="5">
        <v>1</v>
      </c>
      <c r="N15" s="1">
        <f t="shared" si="0"/>
        <v>943</v>
      </c>
      <c r="O15" s="2">
        <v>632</v>
      </c>
      <c r="P15" s="3">
        <v>311</v>
      </c>
      <c r="Q15" s="1">
        <f t="shared" si="1"/>
        <v>1177</v>
      </c>
      <c r="R15" s="3">
        <v>665</v>
      </c>
      <c r="S15" s="2">
        <v>512</v>
      </c>
    </row>
    <row r="16" spans="1:19">
      <c r="A16" s="7">
        <v>15</v>
      </c>
      <c r="B16" s="14" t="s">
        <v>29</v>
      </c>
      <c r="C16" s="15" t="s">
        <v>126</v>
      </c>
      <c r="D16" s="19">
        <v>0</v>
      </c>
      <c r="E16" s="16">
        <v>0</v>
      </c>
      <c r="F16" s="16">
        <v>0</v>
      </c>
      <c r="G16" s="16"/>
      <c r="H16" s="5">
        <v>4.0199999999999996</v>
      </c>
      <c r="I16" s="5">
        <v>1.61</v>
      </c>
      <c r="J16" s="5">
        <v>4.45</v>
      </c>
      <c r="L16" s="5">
        <v>0.8</v>
      </c>
      <c r="M16" s="5">
        <v>0.8</v>
      </c>
      <c r="N16" s="1">
        <f t="shared" si="0"/>
        <v>875</v>
      </c>
      <c r="O16" s="2">
        <v>542</v>
      </c>
      <c r="P16" s="3">
        <v>333</v>
      </c>
      <c r="Q16" s="1">
        <f t="shared" si="1"/>
        <v>1028</v>
      </c>
      <c r="R16" s="3">
        <v>499</v>
      </c>
      <c r="S16" s="2">
        <v>529</v>
      </c>
    </row>
    <row r="17" spans="1:19">
      <c r="A17" s="7">
        <v>16</v>
      </c>
      <c r="B17" s="14" t="s">
        <v>30</v>
      </c>
      <c r="C17" s="15" t="s">
        <v>125</v>
      </c>
      <c r="D17" s="19">
        <v>0</v>
      </c>
      <c r="E17" s="16">
        <v>0</v>
      </c>
      <c r="F17" s="16">
        <v>0</v>
      </c>
      <c r="G17" s="16"/>
      <c r="H17" s="5">
        <v>4.66</v>
      </c>
      <c r="I17" s="5">
        <v>1.41</v>
      </c>
      <c r="J17" s="5">
        <v>4.7300000000000004</v>
      </c>
      <c r="L17" s="5">
        <v>0.9</v>
      </c>
      <c r="M17" s="5">
        <v>0.9</v>
      </c>
      <c r="N17" s="1">
        <f t="shared" si="0"/>
        <v>944</v>
      </c>
      <c r="O17" s="2">
        <v>589</v>
      </c>
      <c r="P17" s="3">
        <v>355</v>
      </c>
      <c r="Q17" s="1">
        <f t="shared" si="1"/>
        <v>987</v>
      </c>
      <c r="R17" s="3">
        <v>593</v>
      </c>
      <c r="S17" s="2">
        <v>394</v>
      </c>
    </row>
    <row r="18" spans="1:19">
      <c r="A18" s="7">
        <v>17</v>
      </c>
      <c r="B18" s="14" t="s">
        <v>31</v>
      </c>
      <c r="C18" s="15" t="s">
        <v>124</v>
      </c>
      <c r="D18" s="19">
        <v>0</v>
      </c>
      <c r="E18" s="16">
        <v>0</v>
      </c>
      <c r="F18" s="16">
        <v>0</v>
      </c>
      <c r="G18" s="16"/>
      <c r="H18" s="5">
        <v>3.28</v>
      </c>
      <c r="I18" s="5">
        <v>2.34</v>
      </c>
      <c r="J18" s="5">
        <v>3.28</v>
      </c>
      <c r="L18" s="5">
        <v>0.8</v>
      </c>
      <c r="M18" s="5">
        <v>0.8</v>
      </c>
      <c r="N18" s="1">
        <f t="shared" si="0"/>
        <v>709</v>
      </c>
      <c r="O18" s="2">
        <v>420</v>
      </c>
      <c r="P18" s="3">
        <v>289</v>
      </c>
      <c r="Q18" s="1">
        <f t="shared" si="1"/>
        <v>697</v>
      </c>
      <c r="R18" s="3">
        <v>294</v>
      </c>
      <c r="S18" s="2">
        <v>403</v>
      </c>
    </row>
    <row r="19" spans="1:19">
      <c r="A19" s="7">
        <v>18</v>
      </c>
      <c r="B19" s="14" t="s">
        <v>32</v>
      </c>
      <c r="C19" s="15" t="s">
        <v>123</v>
      </c>
      <c r="D19" s="19">
        <v>0</v>
      </c>
      <c r="E19" s="16">
        <v>0</v>
      </c>
      <c r="F19" s="16">
        <v>0</v>
      </c>
      <c r="G19" s="16"/>
      <c r="H19" s="5">
        <v>4.32</v>
      </c>
      <c r="I19" s="5">
        <v>2.0499999999999998</v>
      </c>
      <c r="J19" s="5">
        <v>3.42</v>
      </c>
      <c r="L19" s="5">
        <v>0.85</v>
      </c>
      <c r="M19" s="5">
        <v>0.85</v>
      </c>
      <c r="N19" s="1">
        <f t="shared" si="0"/>
        <v>800</v>
      </c>
      <c r="O19" s="2">
        <v>513</v>
      </c>
      <c r="P19" s="3">
        <v>287</v>
      </c>
      <c r="Q19" s="1">
        <f t="shared" si="1"/>
        <v>1226</v>
      </c>
      <c r="R19" s="3">
        <v>637</v>
      </c>
      <c r="S19" s="2">
        <v>589</v>
      </c>
    </row>
    <row r="20" spans="1:19">
      <c r="A20" s="7">
        <v>19</v>
      </c>
      <c r="B20" s="14" t="s">
        <v>33</v>
      </c>
      <c r="C20" s="15" t="s">
        <v>122</v>
      </c>
      <c r="D20" s="19">
        <v>0</v>
      </c>
      <c r="E20" s="16">
        <v>0</v>
      </c>
      <c r="F20" s="16">
        <v>0</v>
      </c>
      <c r="G20" s="16"/>
      <c r="H20" s="5">
        <v>3.6</v>
      </c>
      <c r="I20" s="5">
        <v>2.0499999999999998</v>
      </c>
      <c r="J20" s="5">
        <v>4.99</v>
      </c>
      <c r="L20" s="5">
        <v>0.5</v>
      </c>
      <c r="M20" s="5">
        <v>0.5</v>
      </c>
      <c r="N20" s="1">
        <f t="shared" si="0"/>
        <v>858</v>
      </c>
      <c r="O20" s="2">
        <v>506</v>
      </c>
      <c r="P20" s="3">
        <v>352</v>
      </c>
      <c r="Q20" s="1">
        <f t="shared" si="1"/>
        <v>1061</v>
      </c>
      <c r="R20" s="3">
        <v>628</v>
      </c>
      <c r="S20" s="2">
        <v>433</v>
      </c>
    </row>
    <row r="21" spans="1:19">
      <c r="A21" s="7">
        <v>20</v>
      </c>
      <c r="B21" s="14" t="s">
        <v>34</v>
      </c>
      <c r="C21" s="15" t="s">
        <v>121</v>
      </c>
      <c r="D21" s="19">
        <v>0</v>
      </c>
      <c r="E21" s="16">
        <v>0</v>
      </c>
      <c r="F21" s="16">
        <v>0</v>
      </c>
      <c r="G21" s="16"/>
      <c r="H21" s="5">
        <v>5.33</v>
      </c>
      <c r="I21" s="5">
        <v>2.0499999999999998</v>
      </c>
      <c r="J21" s="5">
        <v>5.96</v>
      </c>
      <c r="L21" s="5">
        <v>0.5</v>
      </c>
      <c r="M21" s="5">
        <v>0.5</v>
      </c>
      <c r="N21" s="1">
        <f t="shared" si="0"/>
        <v>694</v>
      </c>
      <c r="O21" s="2">
        <v>400</v>
      </c>
      <c r="P21" s="3">
        <v>294</v>
      </c>
      <c r="Q21" s="1">
        <f t="shared" si="1"/>
        <v>1059</v>
      </c>
      <c r="R21" s="3">
        <v>566</v>
      </c>
      <c r="S21" s="2">
        <v>493</v>
      </c>
    </row>
    <row r="22" spans="1:19">
      <c r="A22" s="7">
        <v>21</v>
      </c>
      <c r="B22" s="14" t="s">
        <v>35</v>
      </c>
      <c r="C22" s="15" t="s">
        <v>120</v>
      </c>
      <c r="D22" s="19">
        <v>0</v>
      </c>
      <c r="E22" s="16">
        <v>0</v>
      </c>
      <c r="F22" s="16">
        <v>0</v>
      </c>
      <c r="G22" s="16"/>
      <c r="H22" s="5">
        <v>4.1500000000000004</v>
      </c>
      <c r="I22" s="5">
        <v>3.15</v>
      </c>
      <c r="J22" s="5">
        <v>4.29</v>
      </c>
      <c r="L22" s="5">
        <v>0.5</v>
      </c>
      <c r="M22" s="5">
        <v>0.5</v>
      </c>
      <c r="N22" s="1">
        <f t="shared" si="0"/>
        <v>825</v>
      </c>
      <c r="O22" s="2">
        <v>476</v>
      </c>
      <c r="P22" s="4">
        <v>349</v>
      </c>
      <c r="Q22" s="1">
        <f t="shared" si="1"/>
        <v>866</v>
      </c>
      <c r="R22" s="3">
        <v>413</v>
      </c>
      <c r="S22" s="2">
        <v>453</v>
      </c>
    </row>
    <row r="23" spans="1:19">
      <c r="A23" s="7">
        <v>22</v>
      </c>
      <c r="B23" s="14" t="s">
        <v>36</v>
      </c>
      <c r="C23" s="15" t="s">
        <v>119</v>
      </c>
      <c r="D23" s="19">
        <v>0</v>
      </c>
      <c r="E23" s="16">
        <v>0</v>
      </c>
      <c r="F23" s="16">
        <v>0</v>
      </c>
      <c r="G23" s="16"/>
      <c r="H23" s="5">
        <v>2.84</v>
      </c>
      <c r="I23" s="5">
        <v>1.89</v>
      </c>
      <c r="J23" s="5">
        <v>2.84</v>
      </c>
      <c r="L23" s="5">
        <v>0.4</v>
      </c>
      <c r="M23" s="5">
        <v>0.4</v>
      </c>
      <c r="N23" s="1">
        <f t="shared" si="0"/>
        <v>987</v>
      </c>
      <c r="O23" s="2">
        <v>518</v>
      </c>
      <c r="P23" s="3">
        <v>469</v>
      </c>
      <c r="Q23" s="1">
        <f t="shared" si="1"/>
        <v>1388</v>
      </c>
      <c r="R23" s="3">
        <v>668</v>
      </c>
      <c r="S23" s="2">
        <v>720</v>
      </c>
    </row>
    <row r="24" spans="1:19">
      <c r="A24" s="7">
        <v>23</v>
      </c>
      <c r="B24" s="14" t="s">
        <v>37</v>
      </c>
      <c r="C24" s="15" t="s">
        <v>118</v>
      </c>
      <c r="D24" s="19">
        <v>0</v>
      </c>
      <c r="E24" s="16">
        <v>0</v>
      </c>
      <c r="F24" s="16">
        <v>0</v>
      </c>
      <c r="G24" s="16"/>
      <c r="H24" s="5">
        <v>5.35</v>
      </c>
      <c r="I24" s="5">
        <v>2.6</v>
      </c>
      <c r="J24" s="5">
        <v>4.9800000000000004</v>
      </c>
      <c r="L24" s="5">
        <v>0.5</v>
      </c>
      <c r="M24" s="5">
        <v>0.5</v>
      </c>
      <c r="N24" s="1">
        <f t="shared" si="0"/>
        <v>868</v>
      </c>
      <c r="O24" s="2">
        <v>570</v>
      </c>
      <c r="P24" s="3">
        <v>298</v>
      </c>
      <c r="Q24" s="1">
        <f t="shared" si="1"/>
        <v>1262</v>
      </c>
      <c r="R24" s="3">
        <v>693</v>
      </c>
      <c r="S24" s="2">
        <v>569</v>
      </c>
    </row>
    <row r="25" spans="1:19">
      <c r="A25" s="7">
        <v>24</v>
      </c>
      <c r="B25" s="14" t="s">
        <v>38</v>
      </c>
      <c r="C25" s="15" t="s">
        <v>117</v>
      </c>
      <c r="D25" s="19">
        <v>0</v>
      </c>
      <c r="E25" s="16">
        <v>0</v>
      </c>
      <c r="F25" s="16">
        <v>0</v>
      </c>
      <c r="G25" s="16"/>
      <c r="H25" s="5">
        <v>4.6900000000000004</v>
      </c>
      <c r="I25" s="5">
        <v>2.4500000000000002</v>
      </c>
      <c r="J25" s="5">
        <v>2.4300000000000002</v>
      </c>
      <c r="L25" s="5">
        <v>0.1</v>
      </c>
      <c r="M25" s="5">
        <v>0.1</v>
      </c>
      <c r="N25" s="1">
        <f t="shared" si="0"/>
        <v>877</v>
      </c>
      <c r="O25" s="2">
        <v>511</v>
      </c>
      <c r="P25" s="3">
        <v>366</v>
      </c>
      <c r="Q25" s="1">
        <f t="shared" si="1"/>
        <v>1018</v>
      </c>
      <c r="R25" s="3">
        <v>515</v>
      </c>
      <c r="S25" s="2">
        <v>503</v>
      </c>
    </row>
    <row r="26" spans="1:19">
      <c r="A26" s="7">
        <v>25</v>
      </c>
      <c r="B26" s="14" t="s">
        <v>39</v>
      </c>
      <c r="C26" s="15" t="s">
        <v>116</v>
      </c>
      <c r="D26" s="19">
        <v>0</v>
      </c>
      <c r="E26" s="16">
        <v>0</v>
      </c>
      <c r="F26" s="16">
        <v>0</v>
      </c>
      <c r="G26" s="16"/>
      <c r="H26" s="5">
        <v>12.24</v>
      </c>
      <c r="I26" s="5">
        <v>11.45</v>
      </c>
      <c r="J26" s="5">
        <v>12.75</v>
      </c>
      <c r="L26" s="5">
        <v>0.4</v>
      </c>
      <c r="M26" s="5">
        <v>0.4</v>
      </c>
      <c r="N26" s="1">
        <f t="shared" si="0"/>
        <v>877</v>
      </c>
      <c r="O26" s="2">
        <v>511</v>
      </c>
      <c r="P26" s="3">
        <v>366</v>
      </c>
      <c r="Q26" s="1">
        <f t="shared" si="1"/>
        <v>1018</v>
      </c>
      <c r="R26" s="3">
        <v>515</v>
      </c>
      <c r="S26" s="2">
        <v>503</v>
      </c>
    </row>
    <row r="27" spans="1:19">
      <c r="A27" s="7">
        <v>26</v>
      </c>
      <c r="B27" s="14" t="s">
        <v>40</v>
      </c>
      <c r="C27" s="15" t="s">
        <v>115</v>
      </c>
      <c r="D27" s="19">
        <v>0</v>
      </c>
      <c r="E27" s="16">
        <v>0</v>
      </c>
      <c r="F27" s="16">
        <v>0</v>
      </c>
      <c r="G27" s="16"/>
      <c r="H27" s="5">
        <v>3.76</v>
      </c>
      <c r="I27" s="5">
        <v>3.84</v>
      </c>
      <c r="J27" s="5">
        <v>3.83</v>
      </c>
      <c r="L27" s="5">
        <v>0.9</v>
      </c>
      <c r="M27" s="5">
        <v>0.9</v>
      </c>
      <c r="N27" s="1">
        <f t="shared" si="0"/>
        <v>709</v>
      </c>
      <c r="O27" s="2">
        <v>420</v>
      </c>
      <c r="P27" s="3">
        <v>289</v>
      </c>
      <c r="Q27" s="1">
        <f t="shared" si="1"/>
        <v>697</v>
      </c>
      <c r="R27" s="3">
        <v>294</v>
      </c>
      <c r="S27" s="2">
        <v>403</v>
      </c>
    </row>
    <row r="28" spans="1:19">
      <c r="A28" s="7">
        <v>27</v>
      </c>
      <c r="B28" s="14" t="s">
        <v>41</v>
      </c>
      <c r="C28" s="15" t="s">
        <v>114</v>
      </c>
      <c r="D28" s="19">
        <v>0</v>
      </c>
      <c r="E28" s="16">
        <v>0</v>
      </c>
      <c r="F28" s="16">
        <v>0</v>
      </c>
      <c r="G28" s="16"/>
      <c r="H28" s="5">
        <v>6.11</v>
      </c>
      <c r="I28" s="5">
        <v>4.37</v>
      </c>
      <c r="J28" s="5">
        <v>5.75</v>
      </c>
      <c r="L28" s="5">
        <v>0.5</v>
      </c>
      <c r="M28" s="5">
        <v>0.5</v>
      </c>
      <c r="N28" s="1">
        <f t="shared" si="0"/>
        <v>799</v>
      </c>
      <c r="O28" s="2">
        <v>474</v>
      </c>
      <c r="P28" s="3">
        <v>325</v>
      </c>
      <c r="Q28" s="1">
        <f t="shared" si="1"/>
        <v>1148</v>
      </c>
      <c r="R28" s="3">
        <v>605</v>
      </c>
      <c r="S28" s="2">
        <v>543</v>
      </c>
    </row>
    <row r="29" spans="1:19">
      <c r="A29" s="7">
        <v>28</v>
      </c>
      <c r="B29" s="14" t="s">
        <v>42</v>
      </c>
      <c r="C29" s="15" t="s">
        <v>113</v>
      </c>
      <c r="D29" s="19">
        <v>0</v>
      </c>
      <c r="E29" s="16">
        <v>0</v>
      </c>
      <c r="F29" s="16">
        <v>0</v>
      </c>
      <c r="G29" s="16"/>
      <c r="H29" s="5">
        <v>3.46</v>
      </c>
      <c r="I29" s="5">
        <v>2.62</v>
      </c>
      <c r="J29" s="5">
        <v>4.1900000000000004</v>
      </c>
      <c r="L29" s="5">
        <v>0.9</v>
      </c>
      <c r="M29" s="5">
        <v>0.9</v>
      </c>
      <c r="N29" s="1">
        <f t="shared" si="0"/>
        <v>692</v>
      </c>
      <c r="O29" s="2">
        <v>415</v>
      </c>
      <c r="P29" s="3">
        <v>277</v>
      </c>
      <c r="Q29" s="1">
        <f t="shared" si="1"/>
        <v>656</v>
      </c>
      <c r="R29" s="3">
        <v>333</v>
      </c>
      <c r="S29" s="2">
        <v>323</v>
      </c>
    </row>
    <row r="30" spans="1:19">
      <c r="A30" s="7">
        <v>29</v>
      </c>
      <c r="B30" s="10" t="s">
        <v>43</v>
      </c>
      <c r="C30" s="11" t="s">
        <v>112</v>
      </c>
      <c r="D30" s="18">
        <v>12.9</v>
      </c>
      <c r="E30" s="5">
        <v>1.61</v>
      </c>
      <c r="F30" s="5">
        <v>5.87</v>
      </c>
      <c r="H30" s="5">
        <v>4.49</v>
      </c>
      <c r="I30" s="5">
        <v>3.21</v>
      </c>
      <c r="J30" s="5">
        <v>4.3499999999999996</v>
      </c>
      <c r="L30" s="5">
        <v>0.8</v>
      </c>
      <c r="M30" s="5">
        <v>0.8</v>
      </c>
      <c r="N30" s="1">
        <f t="shared" si="0"/>
        <v>692</v>
      </c>
      <c r="O30" s="2">
        <v>415</v>
      </c>
      <c r="P30" s="3">
        <v>277</v>
      </c>
      <c r="Q30" s="1">
        <f t="shared" si="1"/>
        <v>656</v>
      </c>
      <c r="R30" s="3">
        <v>333</v>
      </c>
      <c r="S30" s="2">
        <v>323</v>
      </c>
    </row>
    <row r="31" spans="1:19">
      <c r="A31" s="7">
        <v>30</v>
      </c>
      <c r="B31" s="14" t="s">
        <v>44</v>
      </c>
      <c r="C31" s="15" t="s">
        <v>111</v>
      </c>
      <c r="D31" s="19">
        <v>0</v>
      </c>
      <c r="E31" s="16">
        <v>0</v>
      </c>
      <c r="F31" s="16">
        <v>0</v>
      </c>
      <c r="G31" s="16"/>
      <c r="H31" s="5">
        <v>2.39</v>
      </c>
      <c r="I31" s="5">
        <v>1.25</v>
      </c>
      <c r="J31" s="5">
        <v>3.35</v>
      </c>
      <c r="L31" s="5">
        <v>0.9</v>
      </c>
      <c r="M31" s="5">
        <v>0.9</v>
      </c>
      <c r="N31" s="1">
        <f t="shared" si="0"/>
        <v>718</v>
      </c>
      <c r="O31" s="2">
        <v>379</v>
      </c>
      <c r="P31" s="3">
        <v>339</v>
      </c>
      <c r="Q31" s="1">
        <f t="shared" si="1"/>
        <v>756</v>
      </c>
      <c r="R31" s="3">
        <v>552</v>
      </c>
      <c r="S31" s="2">
        <v>204</v>
      </c>
    </row>
    <row r="32" spans="1:19">
      <c r="A32" s="7">
        <v>31</v>
      </c>
      <c r="B32" s="14" t="s">
        <v>45</v>
      </c>
      <c r="C32" s="15" t="s">
        <v>110</v>
      </c>
      <c r="D32" s="19">
        <v>0</v>
      </c>
      <c r="E32" s="16">
        <v>0</v>
      </c>
      <c r="F32" s="16">
        <v>0</v>
      </c>
      <c r="G32" s="16"/>
      <c r="H32" s="5">
        <v>2.39</v>
      </c>
      <c r="I32" s="5">
        <v>1.25</v>
      </c>
      <c r="J32" s="5">
        <v>3.35</v>
      </c>
      <c r="L32" s="5">
        <v>0.8</v>
      </c>
      <c r="M32" s="5">
        <v>0.8</v>
      </c>
      <c r="N32" s="1">
        <f t="shared" si="0"/>
        <v>718</v>
      </c>
      <c r="O32" s="2">
        <v>379</v>
      </c>
      <c r="P32" s="3">
        <v>339</v>
      </c>
      <c r="Q32" s="1">
        <f t="shared" si="1"/>
        <v>756</v>
      </c>
      <c r="R32" s="3">
        <v>552</v>
      </c>
      <c r="S32" s="2">
        <v>204</v>
      </c>
    </row>
    <row r="33" spans="1:19">
      <c r="A33" s="7">
        <v>32</v>
      </c>
      <c r="B33" s="10" t="s">
        <v>46</v>
      </c>
      <c r="C33" s="11" t="s">
        <v>109</v>
      </c>
      <c r="D33" s="18">
        <v>24.1</v>
      </c>
      <c r="E33" s="5">
        <v>13.84</v>
      </c>
      <c r="F33" s="5">
        <v>28.5</v>
      </c>
      <c r="H33" s="5">
        <v>3.46</v>
      </c>
      <c r="I33" s="5">
        <v>3.05</v>
      </c>
      <c r="J33" s="5">
        <v>5.49</v>
      </c>
      <c r="L33" s="5">
        <v>1</v>
      </c>
      <c r="M33" s="5">
        <v>0.9</v>
      </c>
      <c r="N33" s="1">
        <f t="shared" si="0"/>
        <v>724</v>
      </c>
      <c r="O33" s="2">
        <v>410</v>
      </c>
      <c r="P33" s="3">
        <v>314</v>
      </c>
      <c r="Q33" s="1">
        <f t="shared" si="1"/>
        <v>764</v>
      </c>
      <c r="R33" s="3">
        <v>376</v>
      </c>
      <c r="S33" s="2">
        <v>388</v>
      </c>
    </row>
    <row r="34" spans="1:19">
      <c r="A34" s="7">
        <v>33</v>
      </c>
      <c r="B34" s="14" t="s">
        <v>47</v>
      </c>
      <c r="C34" s="15" t="s">
        <v>108</v>
      </c>
      <c r="D34" s="19">
        <v>0</v>
      </c>
      <c r="E34" s="16">
        <v>0</v>
      </c>
      <c r="F34" s="16">
        <v>0</v>
      </c>
      <c r="G34" s="16"/>
      <c r="H34" s="5">
        <v>5.33</v>
      </c>
      <c r="I34" s="5">
        <v>2.58</v>
      </c>
      <c r="J34" s="5">
        <v>5.93</v>
      </c>
      <c r="L34" s="5">
        <v>1</v>
      </c>
      <c r="M34" s="5">
        <v>0.9</v>
      </c>
      <c r="N34" s="1">
        <f t="shared" si="0"/>
        <v>769</v>
      </c>
      <c r="O34" s="2">
        <v>395</v>
      </c>
      <c r="P34" s="3">
        <v>374</v>
      </c>
      <c r="Q34" s="1">
        <f t="shared" si="1"/>
        <v>690</v>
      </c>
      <c r="R34" s="3">
        <v>378</v>
      </c>
      <c r="S34" s="2">
        <v>312</v>
      </c>
    </row>
    <row r="35" spans="1:19">
      <c r="A35" s="7">
        <v>34</v>
      </c>
      <c r="B35" s="10" t="s">
        <v>48</v>
      </c>
      <c r="C35" s="11" t="s">
        <v>107</v>
      </c>
      <c r="D35" s="18">
        <v>6.48</v>
      </c>
      <c r="E35" s="5">
        <v>4.6500000000000004</v>
      </c>
      <c r="F35" s="5">
        <v>5.88</v>
      </c>
      <c r="H35" s="5">
        <v>1.66</v>
      </c>
      <c r="I35" s="5">
        <v>1.04</v>
      </c>
      <c r="J35" s="5">
        <v>2.4700000000000002</v>
      </c>
      <c r="L35" s="5">
        <v>1</v>
      </c>
      <c r="M35" s="5">
        <v>0.9</v>
      </c>
      <c r="N35" s="1">
        <f t="shared" si="0"/>
        <v>750</v>
      </c>
      <c r="O35" s="2">
        <v>388</v>
      </c>
      <c r="P35" s="3">
        <v>362</v>
      </c>
      <c r="Q35" s="1">
        <f t="shared" si="1"/>
        <v>780</v>
      </c>
      <c r="R35" s="3">
        <v>412</v>
      </c>
      <c r="S35" s="2">
        <v>368</v>
      </c>
    </row>
    <row r="36" spans="1:19">
      <c r="A36" s="7">
        <v>35</v>
      </c>
      <c r="B36" s="10" t="s">
        <v>49</v>
      </c>
      <c r="C36" s="11" t="s">
        <v>106</v>
      </c>
      <c r="D36" s="18">
        <v>24.1</v>
      </c>
      <c r="E36" s="5">
        <v>13.84</v>
      </c>
      <c r="F36" s="5">
        <v>28.5</v>
      </c>
      <c r="H36" s="5">
        <v>10.25</v>
      </c>
      <c r="I36" s="5">
        <v>7.86</v>
      </c>
      <c r="J36" s="5">
        <v>17.23</v>
      </c>
      <c r="L36" s="5">
        <v>1</v>
      </c>
      <c r="M36" s="5">
        <v>0.9</v>
      </c>
      <c r="N36" s="1">
        <f t="shared" si="0"/>
        <v>768</v>
      </c>
      <c r="O36" s="2">
        <v>394</v>
      </c>
      <c r="P36" s="3">
        <v>374</v>
      </c>
      <c r="Q36" s="1">
        <f t="shared" si="1"/>
        <v>690</v>
      </c>
      <c r="R36" s="3">
        <v>378</v>
      </c>
      <c r="S36" s="2">
        <v>312</v>
      </c>
    </row>
    <row r="37" spans="1:19">
      <c r="A37" s="7">
        <v>36</v>
      </c>
      <c r="B37" s="14" t="s">
        <v>50</v>
      </c>
      <c r="C37" s="15" t="s">
        <v>105</v>
      </c>
      <c r="D37" s="19">
        <v>0</v>
      </c>
      <c r="E37" s="16">
        <v>0</v>
      </c>
      <c r="F37" s="16">
        <v>0</v>
      </c>
      <c r="G37" s="16"/>
      <c r="H37" s="5">
        <v>3.29</v>
      </c>
      <c r="I37" s="5">
        <v>2.5</v>
      </c>
      <c r="J37" s="5">
        <v>5.46</v>
      </c>
      <c r="L37" s="5">
        <v>0.9</v>
      </c>
      <c r="M37" s="5">
        <v>0.9</v>
      </c>
      <c r="N37" s="1">
        <f t="shared" si="0"/>
        <v>718</v>
      </c>
      <c r="O37" s="2">
        <v>379</v>
      </c>
      <c r="P37" s="3">
        <v>339</v>
      </c>
      <c r="Q37" s="1">
        <f t="shared" si="1"/>
        <v>756</v>
      </c>
      <c r="R37" s="3">
        <v>552</v>
      </c>
      <c r="S37" s="2">
        <v>204</v>
      </c>
    </row>
    <row r="38" spans="1:19">
      <c r="A38" s="7">
        <v>37</v>
      </c>
      <c r="B38" s="14" t="s">
        <v>51</v>
      </c>
      <c r="C38" s="15" t="s">
        <v>104</v>
      </c>
      <c r="D38" s="19"/>
      <c r="E38" s="16"/>
      <c r="F38" s="16"/>
      <c r="G38" s="16"/>
      <c r="H38" s="5">
        <v>4</v>
      </c>
      <c r="I38" s="5">
        <v>2.0499999999999998</v>
      </c>
      <c r="J38" s="5">
        <v>4.3600000000000003</v>
      </c>
      <c r="L38" s="5">
        <v>1</v>
      </c>
      <c r="M38" s="5">
        <v>0.9</v>
      </c>
      <c r="N38" s="1">
        <f t="shared" si="0"/>
        <v>813</v>
      </c>
      <c r="O38" s="2">
        <v>537</v>
      </c>
      <c r="P38" s="3">
        <v>276</v>
      </c>
      <c r="Q38" s="1">
        <f t="shared" si="1"/>
        <v>1159</v>
      </c>
      <c r="R38" s="3">
        <v>729</v>
      </c>
      <c r="S38" s="2">
        <v>430</v>
      </c>
    </row>
    <row r="39" spans="1:19">
      <c r="A39" s="7">
        <v>38</v>
      </c>
      <c r="B39" s="14" t="s">
        <v>52</v>
      </c>
      <c r="C39" s="15" t="s">
        <v>103</v>
      </c>
      <c r="D39" s="19">
        <v>0</v>
      </c>
      <c r="E39" s="16">
        <v>0</v>
      </c>
      <c r="F39" s="16">
        <v>0</v>
      </c>
      <c r="G39" s="16"/>
      <c r="H39" s="5">
        <v>3.99</v>
      </c>
      <c r="I39" s="5">
        <v>1.95</v>
      </c>
      <c r="J39" s="5">
        <v>4.1900000000000004</v>
      </c>
      <c r="L39" s="5">
        <v>1</v>
      </c>
      <c r="M39" s="5">
        <v>0.7</v>
      </c>
      <c r="N39" s="1">
        <f>O39+N41</f>
        <v>1482</v>
      </c>
      <c r="O39" s="2">
        <v>541</v>
      </c>
      <c r="P39" s="3">
        <v>270.3</v>
      </c>
      <c r="Q39" s="1">
        <f t="shared" si="1"/>
        <v>1066</v>
      </c>
      <c r="R39" s="3">
        <v>681</v>
      </c>
      <c r="S39" s="2">
        <v>385</v>
      </c>
    </row>
    <row r="40" spans="1:19">
      <c r="A40" s="7">
        <v>39</v>
      </c>
      <c r="B40" s="10" t="s">
        <v>53</v>
      </c>
      <c r="C40" s="11" t="s">
        <v>102</v>
      </c>
      <c r="D40" s="18">
        <v>6.63</v>
      </c>
      <c r="E40" s="5">
        <v>5.38</v>
      </c>
      <c r="F40" s="5">
        <v>10.45</v>
      </c>
      <c r="H40" s="5">
        <v>4.0999999999999996</v>
      </c>
      <c r="I40" s="5">
        <v>2.97</v>
      </c>
      <c r="J40" s="5">
        <v>7.91</v>
      </c>
      <c r="L40" s="5">
        <v>0.9</v>
      </c>
      <c r="M40" s="5">
        <v>0.8</v>
      </c>
      <c r="N40" s="21">
        <v>913</v>
      </c>
      <c r="O40" s="21">
        <v>602</v>
      </c>
      <c r="P40" s="21">
        <v>311</v>
      </c>
      <c r="Q40" s="21">
        <v>849</v>
      </c>
      <c r="R40" s="22">
        <v>585</v>
      </c>
      <c r="S40" s="22">
        <v>264</v>
      </c>
    </row>
    <row r="41" spans="1:19">
      <c r="A41" s="7">
        <v>40</v>
      </c>
      <c r="B41" s="14" t="s">
        <v>54</v>
      </c>
      <c r="C41" s="15" t="s">
        <v>101</v>
      </c>
      <c r="D41" s="19">
        <v>0</v>
      </c>
      <c r="E41" s="16">
        <v>0</v>
      </c>
      <c r="F41" s="16">
        <v>0</v>
      </c>
      <c r="G41" s="16"/>
      <c r="H41" s="5">
        <v>6.28</v>
      </c>
      <c r="I41" s="5">
        <v>4.67</v>
      </c>
      <c r="J41" s="5">
        <v>4.6399999999999997</v>
      </c>
      <c r="L41" s="5">
        <v>0.9</v>
      </c>
      <c r="M41" s="5">
        <v>0.5</v>
      </c>
      <c r="N41" s="21">
        <v>941</v>
      </c>
      <c r="O41" s="21">
        <v>662</v>
      </c>
      <c r="P41" s="21">
        <v>279</v>
      </c>
      <c r="Q41" s="21">
        <v>1931</v>
      </c>
      <c r="R41" s="22">
        <v>1260</v>
      </c>
      <c r="S41" s="22">
        <v>671</v>
      </c>
    </row>
    <row r="42" spans="1:19">
      <c r="A42" s="7">
        <v>41</v>
      </c>
      <c r="B42" s="14" t="s">
        <v>55</v>
      </c>
      <c r="C42" s="15" t="s">
        <v>100</v>
      </c>
      <c r="D42" s="19">
        <v>0</v>
      </c>
      <c r="E42" s="16">
        <v>0</v>
      </c>
      <c r="F42" s="16">
        <v>0</v>
      </c>
      <c r="G42" s="16"/>
      <c r="H42" s="5">
        <v>5.17</v>
      </c>
      <c r="I42" s="5">
        <v>3.02</v>
      </c>
      <c r="J42" s="5">
        <v>3.72</v>
      </c>
      <c r="L42" s="5">
        <v>1</v>
      </c>
      <c r="M42" s="5">
        <v>0.8</v>
      </c>
      <c r="N42" s="21">
        <v>748</v>
      </c>
      <c r="O42" s="21">
        <v>512</v>
      </c>
      <c r="P42" s="21">
        <v>236</v>
      </c>
      <c r="Q42" s="21">
        <v>574</v>
      </c>
      <c r="R42" s="22">
        <v>298</v>
      </c>
      <c r="S42" s="22">
        <v>276</v>
      </c>
    </row>
    <row r="43" spans="1:19">
      <c r="A43" s="7">
        <v>42</v>
      </c>
      <c r="B43" s="10" t="s">
        <v>56</v>
      </c>
      <c r="C43" s="11" t="s">
        <v>99</v>
      </c>
      <c r="D43" s="18">
        <v>7.75</v>
      </c>
      <c r="E43" s="5">
        <v>3.1</v>
      </c>
      <c r="F43" s="5">
        <v>7.22</v>
      </c>
      <c r="H43" s="5">
        <v>6.66</v>
      </c>
      <c r="I43" s="5">
        <v>4.0599999999999996</v>
      </c>
      <c r="J43" s="5">
        <v>6.85</v>
      </c>
      <c r="L43" s="5">
        <v>1</v>
      </c>
      <c r="M43" s="5">
        <v>0.8</v>
      </c>
      <c r="N43" s="21">
        <v>852</v>
      </c>
      <c r="O43" s="21">
        <v>558</v>
      </c>
      <c r="P43" s="21">
        <v>294</v>
      </c>
      <c r="Q43" s="21">
        <v>846</v>
      </c>
      <c r="R43" s="22">
        <v>516</v>
      </c>
      <c r="S43" s="22">
        <v>330</v>
      </c>
    </row>
    <row r="44" spans="1:19">
      <c r="A44" s="7">
        <v>43</v>
      </c>
      <c r="B44" s="14" t="s">
        <v>57</v>
      </c>
      <c r="C44" s="15" t="s">
        <v>98</v>
      </c>
      <c r="D44" s="19">
        <v>0</v>
      </c>
      <c r="E44" s="16">
        <v>0</v>
      </c>
      <c r="F44" s="16">
        <v>0</v>
      </c>
      <c r="G44" s="16"/>
      <c r="H44" s="5">
        <v>3.39</v>
      </c>
      <c r="I44" s="5">
        <v>3.59</v>
      </c>
      <c r="J44" s="5">
        <v>4.5</v>
      </c>
      <c r="K44" s="5">
        <v>1.56</v>
      </c>
      <c r="L44" s="5">
        <v>0.9</v>
      </c>
      <c r="M44" s="5">
        <v>0.8</v>
      </c>
      <c r="N44" s="21">
        <v>782</v>
      </c>
      <c r="O44" s="21">
        <v>577</v>
      </c>
      <c r="P44" s="21">
        <v>205</v>
      </c>
      <c r="Q44" s="21">
        <v>809</v>
      </c>
      <c r="R44" s="22">
        <v>552</v>
      </c>
      <c r="S44" s="22">
        <v>257</v>
      </c>
    </row>
    <row r="45" spans="1:19">
      <c r="A45" s="7">
        <v>44</v>
      </c>
      <c r="B45" s="14" t="s">
        <v>58</v>
      </c>
      <c r="C45" s="15" t="s">
        <v>97</v>
      </c>
      <c r="D45" s="19">
        <v>0</v>
      </c>
      <c r="E45" s="16">
        <v>0</v>
      </c>
      <c r="F45" s="16">
        <v>0</v>
      </c>
      <c r="G45" s="16"/>
      <c r="H45" s="5">
        <v>5.72</v>
      </c>
      <c r="I45" s="5">
        <v>4.88</v>
      </c>
      <c r="J45" s="5">
        <v>4.8499999999999996</v>
      </c>
      <c r="L45" s="5">
        <v>1</v>
      </c>
      <c r="M45" s="5">
        <v>0.8</v>
      </c>
      <c r="N45" s="21">
        <v>913</v>
      </c>
      <c r="O45" s="21">
        <v>602</v>
      </c>
      <c r="P45" s="21">
        <v>311</v>
      </c>
      <c r="Q45" s="21">
        <v>849</v>
      </c>
      <c r="R45" s="22">
        <v>585</v>
      </c>
      <c r="S45" s="22">
        <v>264</v>
      </c>
    </row>
    <row r="46" spans="1:19">
      <c r="A46" s="7">
        <v>45</v>
      </c>
      <c r="B46" s="10" t="s">
        <v>59</v>
      </c>
      <c r="C46" s="11" t="s">
        <v>96</v>
      </c>
      <c r="D46" s="18">
        <v>19.32</v>
      </c>
      <c r="E46" s="5">
        <v>5.96</v>
      </c>
      <c r="F46" s="5">
        <v>20.079999999999998</v>
      </c>
      <c r="H46" s="5">
        <v>8.42</v>
      </c>
      <c r="I46" s="5">
        <v>4.97</v>
      </c>
      <c r="J46" s="5">
        <v>8.1999999999999993</v>
      </c>
      <c r="L46" s="5">
        <v>0.9</v>
      </c>
      <c r="M46" s="5">
        <v>0.8</v>
      </c>
      <c r="N46" s="21">
        <v>748</v>
      </c>
      <c r="O46" s="21">
        <v>512</v>
      </c>
      <c r="P46" s="21">
        <v>236</v>
      </c>
      <c r="Q46" s="21">
        <v>574</v>
      </c>
      <c r="R46" s="22">
        <v>298</v>
      </c>
      <c r="S46" s="22">
        <v>276</v>
      </c>
    </row>
    <row r="47" spans="1:19">
      <c r="A47" s="7">
        <v>46</v>
      </c>
      <c r="B47" s="14" t="s">
        <v>60</v>
      </c>
      <c r="C47" s="15" t="s">
        <v>95</v>
      </c>
      <c r="D47" s="19">
        <v>0</v>
      </c>
      <c r="E47" s="16">
        <v>0</v>
      </c>
      <c r="F47" s="16">
        <v>0</v>
      </c>
      <c r="G47" s="16"/>
      <c r="H47" s="5">
        <v>6.03</v>
      </c>
      <c r="I47" s="5">
        <v>5.28</v>
      </c>
      <c r="J47" s="5">
        <v>6.54</v>
      </c>
      <c r="L47" s="5">
        <v>1</v>
      </c>
      <c r="M47" s="5">
        <v>0.8</v>
      </c>
      <c r="N47" s="21">
        <v>716</v>
      </c>
      <c r="O47" s="21">
        <v>490</v>
      </c>
      <c r="P47" s="21">
        <v>226</v>
      </c>
      <c r="Q47" s="21">
        <v>1003</v>
      </c>
      <c r="R47" s="22">
        <v>672</v>
      </c>
      <c r="S47" s="22">
        <v>331</v>
      </c>
    </row>
    <row r="48" spans="1:19">
      <c r="A48" s="7">
        <v>47</v>
      </c>
      <c r="B48" s="14" t="s">
        <v>61</v>
      </c>
      <c r="C48" s="15" t="s">
        <v>94</v>
      </c>
      <c r="D48" s="19">
        <v>0</v>
      </c>
      <c r="E48" s="16">
        <v>0</v>
      </c>
      <c r="F48" s="16">
        <v>0</v>
      </c>
      <c r="G48" s="16"/>
      <c r="H48" s="5">
        <v>3.1</v>
      </c>
      <c r="I48" s="5">
        <v>0.89</v>
      </c>
      <c r="J48" s="5">
        <v>2.8</v>
      </c>
      <c r="L48" s="5">
        <v>0.8</v>
      </c>
      <c r="M48" s="5">
        <v>0.6</v>
      </c>
      <c r="N48" s="21">
        <v>939</v>
      </c>
      <c r="O48" s="21">
        <v>658</v>
      </c>
      <c r="P48" s="21">
        <v>281</v>
      </c>
      <c r="Q48" s="21">
        <v>1165</v>
      </c>
      <c r="R48" s="22">
        <v>673</v>
      </c>
      <c r="S48" s="22">
        <v>492</v>
      </c>
    </row>
    <row r="49" spans="1:19">
      <c r="A49" s="7">
        <v>48</v>
      </c>
      <c r="B49" s="14" t="s">
        <v>62</v>
      </c>
      <c r="C49" s="15" t="s">
        <v>93</v>
      </c>
      <c r="D49" s="19">
        <v>0</v>
      </c>
      <c r="E49" s="16">
        <v>0</v>
      </c>
      <c r="F49" s="16">
        <v>0</v>
      </c>
      <c r="G49" s="16"/>
      <c r="H49" s="5">
        <v>7.17</v>
      </c>
      <c r="I49" s="5">
        <v>4.13</v>
      </c>
      <c r="J49" s="5">
        <v>5.53</v>
      </c>
      <c r="L49" s="5">
        <v>0.8</v>
      </c>
      <c r="M49" s="5">
        <v>0.5</v>
      </c>
      <c r="N49" s="21">
        <v>898</v>
      </c>
      <c r="O49" s="21">
        <v>566</v>
      </c>
      <c r="P49" s="21">
        <v>332</v>
      </c>
      <c r="Q49" s="21"/>
      <c r="R49" s="22"/>
      <c r="S49" s="22"/>
    </row>
    <row r="50" spans="1:19">
      <c r="A50" s="7">
        <v>49</v>
      </c>
      <c r="B50" s="14" t="s">
        <v>63</v>
      </c>
      <c r="C50" s="15" t="s">
        <v>92</v>
      </c>
      <c r="D50" s="19">
        <v>0</v>
      </c>
      <c r="E50" s="16">
        <v>0</v>
      </c>
      <c r="F50" s="16">
        <v>0</v>
      </c>
      <c r="G50" s="16"/>
      <c r="H50" s="5">
        <v>2.94</v>
      </c>
      <c r="I50" s="5">
        <v>1.52</v>
      </c>
      <c r="J50" s="5">
        <v>3.42</v>
      </c>
      <c r="L50" s="5">
        <v>1</v>
      </c>
      <c r="M50" s="5">
        <v>0.8</v>
      </c>
      <c r="N50" s="21">
        <v>811.3</v>
      </c>
      <c r="O50" s="21">
        <v>541</v>
      </c>
      <c r="P50" s="21">
        <v>270.3</v>
      </c>
      <c r="Q50" s="21">
        <v>1066</v>
      </c>
      <c r="R50" s="22">
        <v>681</v>
      </c>
      <c r="S50" s="22">
        <v>385</v>
      </c>
    </row>
    <row r="51" spans="1:19">
      <c r="A51" s="7">
        <v>50</v>
      </c>
      <c r="B51" s="13" t="s">
        <v>64</v>
      </c>
      <c r="C51" s="11" t="s">
        <v>91</v>
      </c>
      <c r="D51" s="18">
        <v>12.84</v>
      </c>
      <c r="E51" s="5">
        <v>13.08</v>
      </c>
      <c r="F51" s="5">
        <v>14.85</v>
      </c>
      <c r="H51" s="5">
        <v>23.65</v>
      </c>
      <c r="I51" s="5">
        <v>11.42</v>
      </c>
      <c r="J51" s="5">
        <v>13.45</v>
      </c>
      <c r="K51" s="5">
        <v>2.33</v>
      </c>
      <c r="L51" s="5">
        <v>1</v>
      </c>
      <c r="M51" s="5">
        <v>0.8</v>
      </c>
      <c r="N51" s="21">
        <v>660</v>
      </c>
      <c r="O51" s="21">
        <v>408</v>
      </c>
      <c r="P51" s="21">
        <v>252</v>
      </c>
      <c r="Q51" s="21">
        <v>878</v>
      </c>
      <c r="R51" s="22">
        <v>477</v>
      </c>
      <c r="S51" s="22">
        <v>401</v>
      </c>
    </row>
    <row r="52" spans="1:19">
      <c r="A52" s="7">
        <v>51</v>
      </c>
      <c r="B52" s="14" t="s">
        <v>65</v>
      </c>
      <c r="C52" s="15" t="s">
        <v>90</v>
      </c>
      <c r="D52" s="19">
        <v>0</v>
      </c>
      <c r="E52" s="16">
        <v>0</v>
      </c>
      <c r="F52" s="16">
        <v>0</v>
      </c>
      <c r="G52" s="16"/>
      <c r="H52" s="5">
        <v>2.87</v>
      </c>
      <c r="I52" s="5">
        <v>1.4</v>
      </c>
      <c r="J52" s="5">
        <v>3.61</v>
      </c>
      <c r="L52" s="5">
        <v>0.85</v>
      </c>
      <c r="M52" s="5">
        <v>0.7</v>
      </c>
      <c r="N52" s="21">
        <v>836</v>
      </c>
      <c r="O52" s="21">
        <v>548</v>
      </c>
      <c r="P52" s="21">
        <v>288</v>
      </c>
      <c r="Q52" s="21">
        <v>1561</v>
      </c>
      <c r="R52" s="22">
        <v>994</v>
      </c>
      <c r="S52" s="22">
        <v>567</v>
      </c>
    </row>
    <row r="53" spans="1:19">
      <c r="A53" s="7">
        <v>52</v>
      </c>
      <c r="B53" s="10" t="s">
        <v>66</v>
      </c>
      <c r="C53" s="11" t="s">
        <v>89</v>
      </c>
      <c r="D53" s="18">
        <v>23.65</v>
      </c>
      <c r="E53" s="5">
        <v>11.42</v>
      </c>
      <c r="F53" s="5">
        <v>2.4500000000000002</v>
      </c>
      <c r="H53" s="5">
        <v>12.93</v>
      </c>
      <c r="I53" s="5">
        <v>1.93</v>
      </c>
      <c r="J53" s="5">
        <v>5.4</v>
      </c>
      <c r="L53" s="5">
        <v>1</v>
      </c>
      <c r="M53" s="5">
        <v>0.9</v>
      </c>
      <c r="N53" s="21">
        <v>660</v>
      </c>
      <c r="O53" s="21">
        <v>408</v>
      </c>
      <c r="P53" s="21">
        <v>252</v>
      </c>
      <c r="Q53" s="21">
        <v>878</v>
      </c>
      <c r="R53" s="22">
        <v>477</v>
      </c>
      <c r="S53" s="22">
        <v>401</v>
      </c>
    </row>
    <row r="54" spans="1:19">
      <c r="A54" s="7">
        <v>53</v>
      </c>
      <c r="B54" s="10" t="s">
        <v>67</v>
      </c>
      <c r="C54" s="11" t="s">
        <v>88</v>
      </c>
      <c r="D54" s="18">
        <v>24.1</v>
      </c>
      <c r="E54" s="5">
        <v>13.84</v>
      </c>
      <c r="F54" s="5">
        <v>28.5</v>
      </c>
      <c r="H54" s="5">
        <v>5.98</v>
      </c>
      <c r="I54" s="5">
        <v>2.72</v>
      </c>
      <c r="J54" s="5">
        <v>5.48</v>
      </c>
      <c r="L54" s="5">
        <v>1</v>
      </c>
      <c r="M54" s="5">
        <v>0.8</v>
      </c>
      <c r="N54" s="21">
        <v>716</v>
      </c>
      <c r="O54" s="21">
        <v>490</v>
      </c>
      <c r="P54" s="21">
        <v>226</v>
      </c>
      <c r="Q54" s="21">
        <v>1003</v>
      </c>
      <c r="R54" s="22">
        <v>672</v>
      </c>
      <c r="S54" s="22">
        <v>331</v>
      </c>
    </row>
    <row r="55" spans="1:19">
      <c r="A55" s="7">
        <v>54</v>
      </c>
      <c r="B55" s="14" t="s">
        <v>68</v>
      </c>
      <c r="C55" s="15" t="s">
        <v>87</v>
      </c>
      <c r="D55" s="19">
        <v>0</v>
      </c>
      <c r="E55" s="16">
        <v>0</v>
      </c>
      <c r="F55" s="16">
        <v>0</v>
      </c>
      <c r="G55" s="16"/>
      <c r="H55" s="5">
        <v>2.44</v>
      </c>
      <c r="I55" s="5">
        <v>1.43</v>
      </c>
      <c r="J55" s="5">
        <v>3.64</v>
      </c>
      <c r="L55" s="5">
        <v>1</v>
      </c>
      <c r="M55" s="5">
        <v>0.8</v>
      </c>
      <c r="N55" s="22">
        <v>788</v>
      </c>
      <c r="O55" s="22">
        <v>529</v>
      </c>
      <c r="P55" s="22">
        <v>259</v>
      </c>
      <c r="Q55" s="22">
        <v>809</v>
      </c>
      <c r="R55" s="22">
        <v>552</v>
      </c>
      <c r="S55" s="22">
        <v>257</v>
      </c>
    </row>
    <row r="56" spans="1:19">
      <c r="A56" s="7">
        <v>55</v>
      </c>
      <c r="B56" s="14" t="s">
        <v>69</v>
      </c>
      <c r="C56" s="15" t="s">
        <v>86</v>
      </c>
      <c r="D56" s="19">
        <v>0</v>
      </c>
      <c r="E56" s="16">
        <v>0</v>
      </c>
      <c r="F56" s="16">
        <v>0</v>
      </c>
      <c r="G56" s="16"/>
      <c r="H56" s="5">
        <v>4.47</v>
      </c>
      <c r="I56" s="5">
        <v>2.56</v>
      </c>
      <c r="J56" s="5">
        <v>4.29</v>
      </c>
      <c r="L56" s="5">
        <v>0.8</v>
      </c>
      <c r="M56" s="5">
        <v>0.6</v>
      </c>
      <c r="N56" s="21">
        <v>946</v>
      </c>
      <c r="O56" s="21">
        <v>647</v>
      </c>
      <c r="P56" s="21">
        <v>299</v>
      </c>
      <c r="Q56" s="21">
        <v>1171.31</v>
      </c>
      <c r="R56" s="22">
        <v>811</v>
      </c>
      <c r="S56" s="22">
        <v>360.31</v>
      </c>
    </row>
    <row r="57" spans="1:19">
      <c r="A57" s="7">
        <v>56</v>
      </c>
      <c r="B57" s="14" t="s">
        <v>70</v>
      </c>
      <c r="C57" s="15" t="s">
        <v>85</v>
      </c>
      <c r="D57" s="19">
        <v>0</v>
      </c>
      <c r="E57" s="16">
        <v>0</v>
      </c>
      <c r="F57" s="16">
        <v>0</v>
      </c>
      <c r="G57" s="16"/>
      <c r="H57" s="5">
        <v>9.66</v>
      </c>
      <c r="I57" s="5">
        <v>8.4700000000000006</v>
      </c>
      <c r="J57" s="5">
        <v>11.72</v>
      </c>
      <c r="L57" s="5">
        <v>1</v>
      </c>
      <c r="M57" s="5">
        <v>0.9</v>
      </c>
      <c r="N57" s="21">
        <v>720</v>
      </c>
      <c r="O57" s="21">
        <v>489</v>
      </c>
      <c r="P57" s="21">
        <v>231</v>
      </c>
      <c r="Q57" s="21">
        <v>1366</v>
      </c>
      <c r="R57" s="22">
        <v>900</v>
      </c>
      <c r="S57" s="22">
        <v>466</v>
      </c>
    </row>
    <row r="58" spans="1:19">
      <c r="A58" s="7">
        <v>57</v>
      </c>
      <c r="B58" s="14" t="s">
        <v>71</v>
      </c>
      <c r="C58" s="15" t="s">
        <v>84</v>
      </c>
      <c r="D58" s="19">
        <v>0</v>
      </c>
      <c r="E58" s="16">
        <v>0</v>
      </c>
      <c r="F58" s="16">
        <v>0</v>
      </c>
      <c r="G58" s="16"/>
      <c r="H58" s="5">
        <v>17.190000000000001</v>
      </c>
      <c r="I58" s="5">
        <v>10.26</v>
      </c>
      <c r="J58" s="5">
        <v>10.69</v>
      </c>
      <c r="L58" s="5">
        <v>0.9</v>
      </c>
      <c r="M58" s="5">
        <v>0.9</v>
      </c>
      <c r="N58" s="21">
        <v>775</v>
      </c>
      <c r="O58" s="21">
        <v>514</v>
      </c>
      <c r="P58" s="21">
        <v>261</v>
      </c>
      <c r="Q58" s="21">
        <v>582</v>
      </c>
      <c r="R58" s="22">
        <v>318</v>
      </c>
      <c r="S58" s="22">
        <v>264</v>
      </c>
    </row>
    <row r="59" spans="1:19" ht="15.75">
      <c r="A59" s="7">
        <v>58</v>
      </c>
      <c r="B59" s="12" t="s">
        <v>73</v>
      </c>
      <c r="C59" s="11" t="s">
        <v>83</v>
      </c>
      <c r="D59" s="18">
        <v>30.42</v>
      </c>
      <c r="E59" s="5">
        <v>31.84</v>
      </c>
      <c r="F59" s="5">
        <v>20.94</v>
      </c>
      <c r="L59" s="5">
        <v>0.98</v>
      </c>
      <c r="M59" s="5">
        <v>0</v>
      </c>
      <c r="N59" s="23">
        <f>O59+P59</f>
        <v>678</v>
      </c>
      <c r="O59" s="24">
        <v>409</v>
      </c>
      <c r="P59" s="24">
        <v>269</v>
      </c>
      <c r="Q59" s="25">
        <v>505</v>
      </c>
      <c r="R59" s="22">
        <v>252</v>
      </c>
      <c r="S59" s="22">
        <v>253</v>
      </c>
    </row>
    <row r="60" spans="1:19" ht="15.75">
      <c r="A60" s="7">
        <v>59</v>
      </c>
      <c r="B60" s="12" t="s">
        <v>74</v>
      </c>
      <c r="C60" s="11" t="s">
        <v>82</v>
      </c>
      <c r="D60" s="18">
        <v>7.02</v>
      </c>
      <c r="E60" s="5">
        <v>1.75</v>
      </c>
      <c r="F60" s="5">
        <v>4.83</v>
      </c>
      <c r="L60" s="5">
        <v>0.98</v>
      </c>
      <c r="M60" s="5">
        <v>0</v>
      </c>
      <c r="N60" s="25">
        <v>813</v>
      </c>
      <c r="O60" s="25">
        <v>537</v>
      </c>
      <c r="P60" s="25">
        <v>276</v>
      </c>
      <c r="Q60" s="25">
        <v>1159</v>
      </c>
      <c r="R60" s="22">
        <v>729</v>
      </c>
      <c r="S60" s="22">
        <v>430</v>
      </c>
    </row>
    <row r="61" spans="1:19">
      <c r="A61" s="7">
        <v>60</v>
      </c>
      <c r="B61" s="12" t="s">
        <v>75</v>
      </c>
      <c r="C61" s="11" t="s">
        <v>81</v>
      </c>
      <c r="D61" s="18">
        <v>12.84</v>
      </c>
      <c r="E61" s="5">
        <v>13.08</v>
      </c>
      <c r="F61" s="5">
        <v>14.85</v>
      </c>
      <c r="L61" s="5">
        <v>1</v>
      </c>
      <c r="M61" s="5">
        <v>0</v>
      </c>
      <c r="N61" s="22">
        <v>679</v>
      </c>
      <c r="O61" s="22">
        <v>410</v>
      </c>
      <c r="P61" s="22">
        <v>269</v>
      </c>
      <c r="Q61" s="22">
        <v>505</v>
      </c>
      <c r="R61" s="22">
        <v>252</v>
      </c>
      <c r="S61" s="22">
        <v>253</v>
      </c>
    </row>
    <row r="62" spans="1:19" ht="15.75">
      <c r="A62" s="7">
        <v>61</v>
      </c>
      <c r="B62" s="12" t="s">
        <v>76</v>
      </c>
      <c r="C62" s="11" t="s">
        <v>80</v>
      </c>
      <c r="D62" s="18">
        <v>12.84</v>
      </c>
      <c r="E62" s="5">
        <v>13.05</v>
      </c>
      <c r="F62" s="5">
        <v>14.8</v>
      </c>
      <c r="L62" s="5">
        <v>1</v>
      </c>
      <c r="M62" s="5">
        <v>0</v>
      </c>
      <c r="N62" s="25">
        <v>679</v>
      </c>
      <c r="O62" s="25">
        <v>410</v>
      </c>
      <c r="P62" s="25">
        <v>269</v>
      </c>
      <c r="Q62" s="25">
        <v>505</v>
      </c>
      <c r="R62" s="22">
        <v>252</v>
      </c>
      <c r="S62" s="22">
        <v>253</v>
      </c>
    </row>
    <row r="63" spans="1:19" ht="15.75">
      <c r="A63" s="7">
        <v>62</v>
      </c>
      <c r="B63" s="12" t="s">
        <v>15</v>
      </c>
      <c r="C63" s="11" t="s">
        <v>79</v>
      </c>
      <c r="D63" s="18">
        <v>10</v>
      </c>
      <c r="E63" s="5">
        <v>0.08</v>
      </c>
      <c r="F63" s="5">
        <v>10.5</v>
      </c>
      <c r="L63" s="5">
        <v>0.82</v>
      </c>
      <c r="M63" s="5">
        <v>0</v>
      </c>
      <c r="N63" s="25">
        <v>660</v>
      </c>
      <c r="O63" s="25">
        <v>408</v>
      </c>
      <c r="P63" s="25">
        <v>252</v>
      </c>
      <c r="Q63" s="25">
        <v>878</v>
      </c>
      <c r="R63" s="25">
        <v>477</v>
      </c>
      <c r="S63" s="25">
        <v>401</v>
      </c>
    </row>
    <row r="64" spans="1:19" ht="15.75">
      <c r="A64" s="7">
        <v>63</v>
      </c>
      <c r="B64" s="12" t="s">
        <v>77</v>
      </c>
      <c r="C64" s="11" t="s">
        <v>78</v>
      </c>
      <c r="D64" s="18">
        <v>24.1</v>
      </c>
      <c r="E64" s="5">
        <v>13.84</v>
      </c>
      <c r="F64" s="5">
        <v>28.5</v>
      </c>
      <c r="L64" s="5">
        <v>1</v>
      </c>
      <c r="M64" s="5">
        <v>0</v>
      </c>
      <c r="N64" s="25">
        <v>724</v>
      </c>
      <c r="O64" s="25">
        <v>410</v>
      </c>
      <c r="P64" s="25">
        <v>314</v>
      </c>
      <c r="Q64" s="25">
        <v>764</v>
      </c>
      <c r="R64" s="22">
        <v>376</v>
      </c>
      <c r="S64" s="22">
        <v>388</v>
      </c>
    </row>
    <row r="65" spans="1:19" s="9" customFormat="1">
      <c r="A65" s="8">
        <v>64</v>
      </c>
      <c r="B65" s="16" t="s">
        <v>141</v>
      </c>
      <c r="C65" s="16" t="s">
        <v>142</v>
      </c>
      <c r="D65" s="19">
        <v>0</v>
      </c>
      <c r="E65" s="16">
        <v>0</v>
      </c>
      <c r="F65" s="16">
        <v>0</v>
      </c>
      <c r="G65" s="16"/>
      <c r="H65" s="9">
        <v>3.55</v>
      </c>
      <c r="I65" s="9">
        <v>1.46</v>
      </c>
      <c r="J65" s="9">
        <v>3.6</v>
      </c>
      <c r="L65" s="9">
        <v>0.9</v>
      </c>
      <c r="M65" s="9">
        <v>0.7</v>
      </c>
      <c r="N65" s="26">
        <v>910</v>
      </c>
      <c r="O65" s="26">
        <v>599</v>
      </c>
      <c r="P65" s="26">
        <v>311</v>
      </c>
      <c r="Q65" s="26">
        <v>1176</v>
      </c>
      <c r="R65" s="26">
        <v>754</v>
      </c>
      <c r="S65" s="26">
        <v>422</v>
      </c>
    </row>
    <row r="66" spans="1:19">
      <c r="A66" s="7"/>
      <c r="B66" s="7"/>
      <c r="D66" s="18"/>
      <c r="N66" s="27"/>
      <c r="O66" s="27"/>
      <c r="P66" s="27"/>
      <c r="Q66" s="27"/>
      <c r="R66" s="27"/>
      <c r="S66" s="27"/>
    </row>
    <row r="67" spans="1:19">
      <c r="A67" s="7"/>
      <c r="B67" s="7"/>
      <c r="N67" s="27"/>
      <c r="O67" s="27"/>
      <c r="P67" s="27"/>
      <c r="Q67" s="27"/>
      <c r="R67" s="27"/>
      <c r="S67" s="27"/>
    </row>
    <row r="68" spans="1:19">
      <c r="A68" s="7"/>
      <c r="B68" s="7"/>
      <c r="N68" s="27"/>
      <c r="O68" s="27"/>
      <c r="P68" s="27"/>
      <c r="Q68" s="27"/>
      <c r="R68" s="28"/>
      <c r="S68" s="27"/>
    </row>
    <row r="69" spans="1:19">
      <c r="A69" s="7"/>
      <c r="B69" s="7"/>
      <c r="N69" s="27"/>
      <c r="O69" s="27"/>
      <c r="P69" s="27"/>
      <c r="Q69" s="27"/>
      <c r="R69" s="27"/>
      <c r="S69" s="27"/>
    </row>
    <row r="70" spans="1:19">
      <c r="A70" s="7"/>
      <c r="B70" s="7"/>
      <c r="N70" s="27"/>
      <c r="O70" s="27"/>
      <c r="P70" s="27"/>
      <c r="Q70" s="27"/>
      <c r="R70" s="27"/>
      <c r="S70" s="27"/>
    </row>
    <row r="71" spans="1:19">
      <c r="A71" s="7"/>
      <c r="N71" s="27"/>
      <c r="O71" s="27"/>
      <c r="P71" s="27"/>
      <c r="Q71" s="27"/>
      <c r="R71" s="27"/>
      <c r="S71" s="27"/>
    </row>
    <row r="72" spans="1:19">
      <c r="A72" s="7"/>
      <c r="B72" s="7"/>
      <c r="N72" s="27"/>
      <c r="O72" s="27"/>
      <c r="P72" s="27"/>
      <c r="Q72" s="27"/>
      <c r="R72" s="27"/>
      <c r="S72" s="27"/>
    </row>
    <row r="73" spans="1:19">
      <c r="A73" s="7"/>
      <c r="B73" s="7"/>
      <c r="N73" s="27"/>
      <c r="O73" s="27"/>
      <c r="P73" s="27"/>
      <c r="Q73" s="27"/>
      <c r="R73" s="27"/>
      <c r="S73" s="27"/>
    </row>
    <row r="74" spans="1:19">
      <c r="A74" s="7"/>
      <c r="B74" s="7"/>
      <c r="N74" s="27"/>
      <c r="O74" s="27"/>
      <c r="P74" s="27"/>
      <c r="Q74" s="27"/>
      <c r="R74" s="27"/>
      <c r="S74" s="27"/>
    </row>
    <row r="75" spans="1:19">
      <c r="A75" s="7"/>
      <c r="B75" s="7"/>
      <c r="N75" s="27"/>
      <c r="O75" s="27"/>
      <c r="P75" s="27"/>
      <c r="Q75" s="27"/>
      <c r="R75" s="27"/>
      <c r="S75" s="27"/>
    </row>
    <row r="76" spans="1:19">
      <c r="A76" s="7"/>
      <c r="B76" s="7"/>
      <c r="N76" s="27"/>
      <c r="O76" s="27"/>
      <c r="P76" s="27"/>
      <c r="Q76" s="27"/>
      <c r="R76" s="27"/>
      <c r="S76" s="27"/>
    </row>
    <row r="77" spans="1:19">
      <c r="A77" s="7"/>
      <c r="N77" s="27"/>
      <c r="O77" s="27"/>
      <c r="P77" s="27"/>
      <c r="Q77" s="27"/>
      <c r="R77" s="27"/>
      <c r="S77" s="27"/>
    </row>
    <row r="78" spans="1:19">
      <c r="A78" s="7"/>
      <c r="N78" s="27"/>
      <c r="O78" s="27"/>
      <c r="P78" s="27"/>
      <c r="Q78" s="27"/>
      <c r="R78" s="27"/>
      <c r="S78" s="27"/>
    </row>
    <row r="79" spans="1:19">
      <c r="A79" s="7"/>
      <c r="B79" s="7"/>
      <c r="N79" s="27"/>
      <c r="O79" s="27"/>
      <c r="P79" s="27"/>
      <c r="Q79" s="27"/>
      <c r="R79" s="27"/>
      <c r="S79" s="27"/>
    </row>
    <row r="80" spans="1:19">
      <c r="A80" s="7"/>
      <c r="B80" s="7"/>
      <c r="N80" s="27"/>
      <c r="O80" s="27"/>
      <c r="P80" s="27"/>
      <c r="Q80" s="27"/>
      <c r="R80" s="27"/>
      <c r="S80" s="27"/>
    </row>
    <row r="81" spans="1:19">
      <c r="A81" s="7"/>
      <c r="B81" s="7"/>
      <c r="N81" s="27"/>
      <c r="O81" s="27"/>
      <c r="P81" s="27"/>
      <c r="Q81" s="27"/>
      <c r="R81" s="27"/>
      <c r="S81" s="27"/>
    </row>
    <row r="82" spans="1:19">
      <c r="A82" s="7"/>
      <c r="B82" s="7"/>
      <c r="N82" s="27"/>
      <c r="O82" s="27"/>
      <c r="P82" s="27"/>
      <c r="Q82" s="27"/>
      <c r="R82" s="27"/>
      <c r="S82" s="27"/>
    </row>
    <row r="83" spans="1:19">
      <c r="A83" s="7"/>
      <c r="B83" s="7"/>
      <c r="N83" s="27"/>
      <c r="O83" s="27"/>
      <c r="P83" s="27"/>
      <c r="Q83" s="27"/>
      <c r="R83" s="27"/>
      <c r="S83" s="27"/>
    </row>
    <row r="84" spans="1:19">
      <c r="A84" s="7"/>
      <c r="B84" s="7"/>
      <c r="N84" s="27"/>
      <c r="O84" s="27"/>
      <c r="P84" s="27"/>
      <c r="Q84" s="27"/>
      <c r="R84" s="27"/>
      <c r="S84" s="27"/>
    </row>
    <row r="85" spans="1:19">
      <c r="A85" s="7"/>
      <c r="B85" s="7"/>
      <c r="N85" s="27"/>
      <c r="O85" s="27"/>
      <c r="P85" s="27"/>
      <c r="Q85" s="27"/>
      <c r="R85" s="27"/>
      <c r="S85" s="27"/>
    </row>
    <row r="86" spans="1:19">
      <c r="A86" s="7"/>
      <c r="B86" s="7"/>
      <c r="N86" s="27"/>
      <c r="O86" s="27"/>
      <c r="P86" s="27"/>
      <c r="Q86" s="27"/>
      <c r="R86" s="27"/>
      <c r="S86" s="27"/>
    </row>
    <row r="87" spans="1:19">
      <c r="A87" s="7"/>
      <c r="B87" s="7"/>
      <c r="N87" s="27"/>
      <c r="O87" s="27"/>
      <c r="P87" s="27"/>
      <c r="Q87" s="27"/>
      <c r="R87" s="27"/>
      <c r="S87" s="27"/>
    </row>
    <row r="88" spans="1:19">
      <c r="A88" s="7"/>
      <c r="N88" s="27"/>
      <c r="O88" s="27"/>
      <c r="P88" s="27"/>
      <c r="Q88" s="27"/>
      <c r="R88" s="27"/>
      <c r="S88" s="27"/>
    </row>
    <row r="89" spans="1:19">
      <c r="A89" s="7"/>
      <c r="B89" s="7"/>
      <c r="N89" s="27"/>
      <c r="O89" s="27"/>
      <c r="P89" s="27"/>
      <c r="Q89" s="27"/>
      <c r="R89" s="27"/>
      <c r="S89" s="27"/>
    </row>
    <row r="90" spans="1:19">
      <c r="A90" s="7"/>
      <c r="N90" s="27"/>
      <c r="O90" s="27"/>
      <c r="P90" s="27"/>
      <c r="Q90" s="27"/>
      <c r="R90" s="27"/>
      <c r="S90" s="27"/>
    </row>
    <row r="91" spans="1:19">
      <c r="A91" s="7"/>
      <c r="N91" s="27"/>
      <c r="O91" s="27"/>
      <c r="P91" s="27"/>
      <c r="Q91" s="27"/>
      <c r="R91" s="27"/>
      <c r="S91" s="27"/>
    </row>
    <row r="92" spans="1:19">
      <c r="A92" s="7"/>
      <c r="N92" s="27"/>
      <c r="O92" s="27"/>
      <c r="P92" s="27"/>
      <c r="Q92" s="27"/>
      <c r="R92" s="27"/>
      <c r="S92" s="27"/>
    </row>
    <row r="93" spans="1:19">
      <c r="A93" s="7"/>
    </row>
    <row r="94" spans="1:19">
      <c r="A94" s="7"/>
    </row>
    <row r="95" spans="1:19">
      <c r="A95" s="7"/>
      <c r="N95" s="27"/>
      <c r="O95" s="27"/>
      <c r="P95" s="27"/>
      <c r="Q95" s="27"/>
      <c r="R95" s="27"/>
      <c r="S95" s="27"/>
    </row>
    <row r="96" spans="1:19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2018-01-23T11:49:32Z</dcterms:modified>
</cp:coreProperties>
</file>